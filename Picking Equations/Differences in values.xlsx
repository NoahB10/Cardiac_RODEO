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B\Documents\HebrewU Bioengineering\Cardiac_RODEO\Picking Equations\"/>
    </mc:Choice>
  </mc:AlternateContent>
  <xr:revisionPtr revIDLastSave="0" documentId="8_{68266F93-FB9C-46DD-93E2-EABD66A6337F}" xr6:coauthVersionLast="47" xr6:coauthVersionMax="47" xr10:uidLastSave="{00000000-0000-0000-0000-000000000000}"/>
  <bookViews>
    <workbookView xWindow="-108" yWindow="-108" windowWidth="23256" windowHeight="12456" xr2:uid="{FB30AC20-79F1-4732-AF76-2284A6C006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7" i="1" l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</calcChain>
</file>

<file path=xl/sharedStrings.xml><?xml version="1.0" encoding="utf-8"?>
<sst xmlns="http://schemas.openxmlformats.org/spreadsheetml/2006/main" count="117" uniqueCount="44">
  <si>
    <t>Drug</t>
  </si>
  <si>
    <t>Contractility</t>
  </si>
  <si>
    <t>O2</t>
  </si>
  <si>
    <t>R0</t>
  </si>
  <si>
    <t>Emax</t>
  </si>
  <si>
    <t>kappa</t>
  </si>
  <si>
    <t>n</t>
  </si>
  <si>
    <t>m</t>
  </si>
  <si>
    <t>tau</t>
  </si>
  <si>
    <t>k_elim</t>
  </si>
  <si>
    <t>Cmax_used</t>
  </si>
  <si>
    <t>R2</t>
  </si>
  <si>
    <t>N_points</t>
  </si>
  <si>
    <t>Arrhythmia</t>
  </si>
  <si>
    <t>heart_damage</t>
  </si>
  <si>
    <t>Concern</t>
  </si>
  <si>
    <t>Bortezomib</t>
  </si>
  <si>
    <t>most</t>
  </si>
  <si>
    <t>Cobimetinib</t>
  </si>
  <si>
    <t>Daunorubicin</t>
  </si>
  <si>
    <t>Doxorubicin</t>
  </si>
  <si>
    <t>Epirubicin</t>
  </si>
  <si>
    <t>Ibrutinib</t>
  </si>
  <si>
    <t>Ibuprofen</t>
  </si>
  <si>
    <t>Isoproterenol</t>
  </si>
  <si>
    <t>Mexiletine</t>
  </si>
  <si>
    <t>Panobinostat</t>
  </si>
  <si>
    <t>Rosiglitazone</t>
  </si>
  <si>
    <t>Sotalol</t>
  </si>
  <si>
    <t>Sunitinib</t>
  </si>
  <si>
    <t>Vandetanib</t>
  </si>
  <si>
    <t>Vioxx</t>
  </si>
  <si>
    <t>Amiodarone</t>
  </si>
  <si>
    <t>less</t>
  </si>
  <si>
    <t>Chlorpromazine</t>
  </si>
  <si>
    <t>Gemcitibine</t>
  </si>
  <si>
    <t>Nifedipine</t>
  </si>
  <si>
    <t>Vincristine</t>
  </si>
  <si>
    <t>Vorinostat</t>
  </si>
  <si>
    <t>Dactinomycin</t>
  </si>
  <si>
    <t>no</t>
  </si>
  <si>
    <t>Erlotinib</t>
  </si>
  <si>
    <t>Etomoxir</t>
  </si>
  <si>
    <t>Plicamycin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</si>
</sst>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/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F92B-12E4-4DA4-9057-EC6773912782}">
  <dimension ref="A1:AS54"/>
  <sheetViews>
    <sheetView tabSelected="1" zoomScale="40" workbookViewId="0">
      <selection activeCell="AG37" sqref="AG37"/>
    </sheetView>
  </sheetViews>
  <sheetFormatPr defaultRowHeight="14.4" x14ac:dyDescent="0.3"/>
  <cols>
    <col min="1" max="24" width="12" customWidth="1"/>
    <col min="26" max="26" width="12.88671875" bestFit="1" customWidth="1"/>
    <col min="27" max="27" width="12.21875" bestFit="1" customWidth="1"/>
    <col min="28" max="28" width="12.88671875" bestFit="1" customWidth="1"/>
    <col min="29" max="30" width="9" bestFit="1" customWidth="1"/>
  </cols>
  <sheetData>
    <row r="1" spans="1:45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2" t="s">
        <v>2</v>
      </c>
      <c r="P1" s="3"/>
      <c r="Q1" s="3"/>
      <c r="R1" s="3"/>
      <c r="S1" s="3"/>
      <c r="T1" s="3"/>
      <c r="U1" s="3"/>
      <c r="V1" s="3"/>
      <c r="W1" s="3"/>
      <c r="X1" s="3"/>
      <c r="Z1" t="s">
        <v>3</v>
      </c>
      <c r="AA1" t="s">
        <v>4</v>
      </c>
      <c r="AB1" t="s">
        <v>5</v>
      </c>
      <c r="AC1" t="s">
        <v>6</v>
      </c>
      <c r="AD1" t="s">
        <v>7</v>
      </c>
      <c r="AE1" t="s">
        <v>8</v>
      </c>
      <c r="AF1" t="s">
        <v>9</v>
      </c>
      <c r="AG1" t="s">
        <v>10</v>
      </c>
      <c r="AH1" t="s">
        <v>11</v>
      </c>
      <c r="AI1" t="s">
        <v>12</v>
      </c>
      <c r="AJ1" t="s">
        <v>3</v>
      </c>
      <c r="AK1" t="s">
        <v>4</v>
      </c>
      <c r="AL1" t="s">
        <v>5</v>
      </c>
      <c r="AM1" t="s">
        <v>6</v>
      </c>
      <c r="AN1" t="s">
        <v>7</v>
      </c>
      <c r="AO1" t="s">
        <v>8</v>
      </c>
      <c r="AP1" t="s">
        <v>9</v>
      </c>
      <c r="AQ1" t="s">
        <v>10</v>
      </c>
      <c r="AR1" t="s">
        <v>11</v>
      </c>
      <c r="AS1" t="s">
        <v>12</v>
      </c>
    </row>
    <row r="2" spans="1:45" x14ac:dyDescent="0.3">
      <c r="A2" s="1" t="s">
        <v>0</v>
      </c>
      <c r="B2" s="4" t="s">
        <v>13</v>
      </c>
      <c r="C2" s="4" t="s">
        <v>14</v>
      </c>
      <c r="D2" s="4" t="s">
        <v>15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3</v>
      </c>
      <c r="P2" s="4" t="s">
        <v>4</v>
      </c>
      <c r="Q2" s="4" t="s">
        <v>5</v>
      </c>
      <c r="R2" s="4" t="s">
        <v>6</v>
      </c>
      <c r="S2" s="4" t="s">
        <v>7</v>
      </c>
      <c r="T2" s="4" t="s">
        <v>8</v>
      </c>
      <c r="U2" s="4" t="s">
        <v>9</v>
      </c>
      <c r="V2" s="4" t="s">
        <v>10</v>
      </c>
      <c r="W2" s="4" t="s">
        <v>11</v>
      </c>
      <c r="X2" s="4" t="s">
        <v>12</v>
      </c>
      <c r="Z2">
        <f>(E3-E30)</f>
        <v>1.0218818477465003E-3</v>
      </c>
      <c r="AA2">
        <f t="shared" ref="AA2:AQ16" si="0">(F3-F30)</f>
        <v>-5.0723940431614961E-3</v>
      </c>
      <c r="AB2">
        <f t="shared" si="0"/>
        <v>25.517443911957319</v>
      </c>
      <c r="AC2">
        <f t="shared" si="0"/>
        <v>0.16977273851030777</v>
      </c>
      <c r="AD2">
        <f t="shared" si="0"/>
        <v>0.3999999999999781</v>
      </c>
      <c r="AE2">
        <f t="shared" si="0"/>
        <v>16.649364741993463</v>
      </c>
      <c r="AF2">
        <f t="shared" si="0"/>
        <v>-9.436238572415212E-3</v>
      </c>
      <c r="AG2">
        <f t="shared" si="0"/>
        <v>0</v>
      </c>
      <c r="AH2">
        <f t="shared" si="0"/>
        <v>-5.1553812068508842E-3</v>
      </c>
      <c r="AI2">
        <f t="shared" si="0"/>
        <v>0</v>
      </c>
      <c r="AJ2">
        <f t="shared" si="0"/>
        <v>1.5391069221948328E-4</v>
      </c>
      <c r="AK2">
        <f t="shared" si="0"/>
        <v>-2.3832568805204346E-4</v>
      </c>
      <c r="AL2">
        <f t="shared" si="0"/>
        <v>-23.813340330889286</v>
      </c>
      <c r="AM2">
        <f t="shared" si="0"/>
        <v>1.6760247623348601E-4</v>
      </c>
      <c r="AN2">
        <f t="shared" si="0"/>
        <v>1.1007616566116596E-3</v>
      </c>
      <c r="AO2">
        <f t="shared" si="0"/>
        <v>-21.343906901594671</v>
      </c>
      <c r="AP2">
        <f t="shared" si="0"/>
        <v>8.6464610834010757E-10</v>
      </c>
      <c r="AQ2">
        <f t="shared" si="0"/>
        <v>0</v>
      </c>
      <c r="AR2">
        <f>(W3-W30)</f>
        <v>-1.5871992609106655E-9</v>
      </c>
      <c r="AS2">
        <f t="shared" ref="AS2:AS27" si="1">(X3-X30)</f>
        <v>0</v>
      </c>
    </row>
    <row r="3" spans="1:45" x14ac:dyDescent="0.3">
      <c r="A3" t="s">
        <v>16</v>
      </c>
      <c r="B3" t="b">
        <v>1</v>
      </c>
      <c r="C3" t="b">
        <v>1</v>
      </c>
      <c r="D3" t="s">
        <v>17</v>
      </c>
      <c r="E3">
        <v>8.3948081378834902E-2</v>
      </c>
      <c r="F3">
        <v>4.8515805036084901E-2</v>
      </c>
      <c r="G3">
        <v>33.199143525110848</v>
      </c>
      <c r="H3">
        <v>0.50000000000082279</v>
      </c>
      <c r="I3">
        <v>0.50000000000000011</v>
      </c>
      <c r="J3">
        <v>32.664978003509162</v>
      </c>
      <c r="K3">
        <v>0.23976257581264479</v>
      </c>
      <c r="L3">
        <v>0.28999999999999998</v>
      </c>
      <c r="M3">
        <v>0.29413419060486012</v>
      </c>
      <c r="N3">
        <v>296</v>
      </c>
      <c r="O3">
        <v>13.04447944313902</v>
      </c>
      <c r="P3">
        <v>16.108471283414548</v>
      </c>
      <c r="Q3">
        <v>0.65884523643841453</v>
      </c>
      <c r="R3">
        <v>0.70814869867394048</v>
      </c>
      <c r="S3">
        <v>5.8285442781639913</v>
      </c>
      <c r="T3">
        <v>24.832703174637231</v>
      </c>
      <c r="U3">
        <v>1.00089859572248E-6</v>
      </c>
      <c r="V3">
        <v>0.28999999999999998</v>
      </c>
      <c r="W3">
        <v>0.29648994187381372</v>
      </c>
      <c r="X3">
        <v>296</v>
      </c>
      <c r="Z3">
        <f t="shared" ref="Z3:AO18" si="2">(E4-E31)</f>
        <v>-4.7418389979681695E-2</v>
      </c>
      <c r="AA3">
        <f t="shared" si="0"/>
        <v>-7.4190096478790296E-2</v>
      </c>
      <c r="AB3">
        <f t="shared" si="0"/>
        <v>3.5315287823841937</v>
      </c>
      <c r="AC3">
        <f t="shared" si="0"/>
        <v>-4.2076069197616075</v>
      </c>
      <c r="AD3">
        <f t="shared" si="0"/>
        <v>-3.3090825418263812</v>
      </c>
      <c r="AE3">
        <f t="shared" si="0"/>
        <v>-88.844662425948698</v>
      </c>
      <c r="AF3">
        <f t="shared" si="0"/>
        <v>2.5303528244001894E-2</v>
      </c>
      <c r="AG3">
        <f t="shared" si="0"/>
        <v>0.4</v>
      </c>
      <c r="AH3">
        <f t="shared" si="0"/>
        <v>-0.32097130053151846</v>
      </c>
      <c r="AI3">
        <f t="shared" si="0"/>
        <v>37</v>
      </c>
      <c r="AJ3">
        <f t="shared" si="0"/>
        <v>1.8173973604226195</v>
      </c>
      <c r="AK3">
        <f t="shared" si="0"/>
        <v>-24.198420141564398</v>
      </c>
      <c r="AL3">
        <f t="shared" si="0"/>
        <v>0.13096582726778422</v>
      </c>
      <c r="AM3">
        <f t="shared" si="0"/>
        <v>-3.5960220146574851E-2</v>
      </c>
      <c r="AN3">
        <f t="shared" si="0"/>
        <v>7.7900360954699988E-2</v>
      </c>
      <c r="AO3">
        <f t="shared" si="0"/>
        <v>-25.687463631179583</v>
      </c>
      <c r="AP3">
        <f t="shared" si="0"/>
        <v>2.2037047916089791E-2</v>
      </c>
      <c r="AQ3">
        <f t="shared" si="0"/>
        <v>0.4</v>
      </c>
      <c r="AR3">
        <f t="shared" ref="AR3:AR27" si="3">(W4-W31)</f>
        <v>-0.13447264582301122</v>
      </c>
      <c r="AS3">
        <f t="shared" si="1"/>
        <v>37</v>
      </c>
    </row>
    <row r="4" spans="1:45" x14ac:dyDescent="0.3">
      <c r="A4" t="s">
        <v>18</v>
      </c>
      <c r="B4" t="b">
        <v>0</v>
      </c>
      <c r="C4" t="b">
        <v>1</v>
      </c>
      <c r="D4" t="s">
        <v>17</v>
      </c>
      <c r="E4">
        <v>5.8870991101965302E-2</v>
      </c>
      <c r="F4">
        <v>2.4531823833322499E-2</v>
      </c>
      <c r="G4">
        <v>3.531653496160581</v>
      </c>
      <c r="H4">
        <v>1.7923930802383621</v>
      </c>
      <c r="I4">
        <v>1.477651661630569</v>
      </c>
      <c r="J4">
        <v>1.282710408311603</v>
      </c>
      <c r="K4">
        <v>5.6915947932036297E-2</v>
      </c>
      <c r="L4">
        <v>0.53</v>
      </c>
      <c r="M4">
        <v>0.1099347685295565</v>
      </c>
      <c r="N4">
        <v>296</v>
      </c>
      <c r="O4">
        <v>15.521772256162819</v>
      </c>
      <c r="P4">
        <v>75.801579856484096</v>
      </c>
      <c r="Q4">
        <v>0.43734127182804922</v>
      </c>
      <c r="R4">
        <v>0.50000000000000111</v>
      </c>
      <c r="S4">
        <v>2.5069940562074402</v>
      </c>
      <c r="T4">
        <v>26.46313840283662</v>
      </c>
      <c r="U4">
        <v>7.4257451000919295E-2</v>
      </c>
      <c r="V4">
        <v>0.53</v>
      </c>
      <c r="W4">
        <v>0.67695460242768779</v>
      </c>
      <c r="X4">
        <v>296</v>
      </c>
      <c r="Z4">
        <f t="shared" si="2"/>
        <v>2.9234297582320101E-2</v>
      </c>
      <c r="AA4">
        <f t="shared" si="0"/>
        <v>1.6325011124017103E-2</v>
      </c>
      <c r="AB4">
        <f t="shared" si="0"/>
        <v>1.9572784907282603</v>
      </c>
      <c r="AC4">
        <f t="shared" si="0"/>
        <v>-4.1198142921249641</v>
      </c>
      <c r="AD4">
        <f t="shared" si="0"/>
        <v>2.1441247664008611</v>
      </c>
      <c r="AE4">
        <f t="shared" si="0"/>
        <v>-9.5610253998785026</v>
      </c>
      <c r="AF4">
        <f t="shared" si="0"/>
        <v>2.3313683966133102E-2</v>
      </c>
      <c r="AG4">
        <f t="shared" si="0"/>
        <v>-0.21000000000000002</v>
      </c>
      <c r="AH4">
        <f t="shared" si="0"/>
        <v>0.27654475203446516</v>
      </c>
      <c r="AI4">
        <f t="shared" si="0"/>
        <v>-37</v>
      </c>
      <c r="AJ4">
        <f t="shared" si="0"/>
        <v>-3.9573623864631102</v>
      </c>
      <c r="AK4">
        <f t="shared" si="0"/>
        <v>-36.290036194701642</v>
      </c>
      <c r="AL4">
        <f t="shared" si="0"/>
        <v>0.1906020127549527</v>
      </c>
      <c r="AM4">
        <f t="shared" si="0"/>
        <v>0.496792565211431</v>
      </c>
      <c r="AN4">
        <f t="shared" si="0"/>
        <v>0.45217046257845706</v>
      </c>
      <c r="AO4">
        <f t="shared" si="0"/>
        <v>19.260532339843824</v>
      </c>
      <c r="AP4">
        <f t="shared" si="0"/>
        <v>-6.1459070684581507E-2</v>
      </c>
      <c r="AQ4">
        <f t="shared" si="0"/>
        <v>-0.21000000000000002</v>
      </c>
      <c r="AR4">
        <f t="shared" si="3"/>
        <v>5.1782844817884421E-2</v>
      </c>
      <c r="AS4">
        <f t="shared" si="1"/>
        <v>-37</v>
      </c>
    </row>
    <row r="5" spans="1:45" x14ac:dyDescent="0.3">
      <c r="A5" t="s">
        <v>19</v>
      </c>
      <c r="B5" t="b">
        <v>0</v>
      </c>
      <c r="C5" t="b">
        <v>1</v>
      </c>
      <c r="D5" t="s">
        <v>17</v>
      </c>
      <c r="E5">
        <v>0.105480603713486</v>
      </c>
      <c r="F5">
        <v>9.6746466476085397E-2</v>
      </c>
      <c r="G5">
        <v>1.9589411477509</v>
      </c>
      <c r="H5">
        <v>1.637515597492726</v>
      </c>
      <c r="I5">
        <v>2.244124766400895</v>
      </c>
      <c r="J5">
        <v>50.1959152766469</v>
      </c>
      <c r="K5">
        <v>3.3218853237800203E-2</v>
      </c>
      <c r="L5">
        <v>0.24</v>
      </c>
      <c r="M5">
        <v>0.80092907510161615</v>
      </c>
      <c r="N5">
        <v>259</v>
      </c>
      <c r="O5">
        <v>10.826485225670289</v>
      </c>
      <c r="P5">
        <v>63.709963638944657</v>
      </c>
      <c r="Q5">
        <v>0.44048152012235969</v>
      </c>
      <c r="R5">
        <v>0.898406920404207</v>
      </c>
      <c r="S5">
        <v>3.4733332453533272</v>
      </c>
      <c r="T5">
        <v>44.199527115888422</v>
      </c>
      <c r="U5">
        <v>4.7984128086660499E-2</v>
      </c>
      <c r="V5">
        <v>0.24</v>
      </c>
      <c r="W5">
        <v>0.85337049735425841</v>
      </c>
      <c r="X5">
        <v>259</v>
      </c>
      <c r="Z5">
        <f t="shared" si="2"/>
        <v>6.8876374740680923E-3</v>
      </c>
      <c r="AA5">
        <f t="shared" si="0"/>
        <v>6.2630757085870903E-2</v>
      </c>
      <c r="AB5">
        <f t="shared" si="0"/>
        <v>-1.5227480326446232</v>
      </c>
      <c r="AC5">
        <f t="shared" si="0"/>
        <v>0.29946200704873771</v>
      </c>
      <c r="AD5">
        <f t="shared" si="0"/>
        <v>3.6340131296990226</v>
      </c>
      <c r="AE5">
        <f t="shared" si="0"/>
        <v>-37.558554091905584</v>
      </c>
      <c r="AF5">
        <f t="shared" si="0"/>
        <v>2.5454280236501401E-2</v>
      </c>
      <c r="AG5">
        <f t="shared" si="0"/>
        <v>-0.4</v>
      </c>
      <c r="AH5">
        <f t="shared" si="0"/>
        <v>0.22836383939965699</v>
      </c>
      <c r="AI5">
        <f t="shared" si="0"/>
        <v>-37</v>
      </c>
      <c r="AJ5">
        <f t="shared" si="0"/>
        <v>-11.295624712157659</v>
      </c>
      <c r="AK5">
        <f t="shared" si="0"/>
        <v>71.983859129415876</v>
      </c>
      <c r="AL5">
        <f t="shared" si="0"/>
        <v>5.7490433576747102E-2</v>
      </c>
      <c r="AM5">
        <f t="shared" si="0"/>
        <v>-2.332893153960752</v>
      </c>
      <c r="AN5">
        <f t="shared" si="0"/>
        <v>-3.5709041024303438</v>
      </c>
      <c r="AO5">
        <f t="shared" si="0"/>
        <v>-13.978723391137628</v>
      </c>
      <c r="AP5">
        <f t="shared" si="0"/>
        <v>2.4599448861562498E-2</v>
      </c>
      <c r="AQ5">
        <f t="shared" si="0"/>
        <v>-0.4</v>
      </c>
      <c r="AR5">
        <f t="shared" si="3"/>
        <v>0.38980657873596503</v>
      </c>
      <c r="AS5">
        <f t="shared" si="1"/>
        <v>-37</v>
      </c>
    </row>
    <row r="6" spans="1:45" x14ac:dyDescent="0.3">
      <c r="A6" t="s">
        <v>20</v>
      </c>
      <c r="B6" t="b">
        <v>1</v>
      </c>
      <c r="C6" t="b">
        <v>1</v>
      </c>
      <c r="D6" t="s">
        <v>17</v>
      </c>
      <c r="E6">
        <v>0.10625357322899499</v>
      </c>
      <c r="F6">
        <v>9.8592013750666202E-2</v>
      </c>
      <c r="G6">
        <v>5.5629904567985802E-6</v>
      </c>
      <c r="H6">
        <v>5.9999999996342073</v>
      </c>
      <c r="I6">
        <v>4.7672104611201824</v>
      </c>
      <c r="J6">
        <v>47.410356976411713</v>
      </c>
      <c r="K6">
        <v>3.1439803653039902E-2</v>
      </c>
      <c r="L6">
        <v>0.13</v>
      </c>
      <c r="M6">
        <v>0.43090849713684498</v>
      </c>
      <c r="N6">
        <v>259</v>
      </c>
      <c r="O6">
        <v>13.70437528783704</v>
      </c>
      <c r="P6">
        <v>99.999999998952276</v>
      </c>
      <c r="Q6">
        <v>0.13364052592704301</v>
      </c>
      <c r="R6">
        <v>0.53596013834655798</v>
      </c>
      <c r="S6">
        <v>2.4290958975692858</v>
      </c>
      <c r="T6">
        <v>37.061725398188869</v>
      </c>
      <c r="U6">
        <v>5.2220479817378998E-2</v>
      </c>
      <c r="V6">
        <v>0.13</v>
      </c>
      <c r="W6">
        <v>0.81142724825068402</v>
      </c>
      <c r="X6">
        <v>259</v>
      </c>
      <c r="Z6">
        <f t="shared" si="2"/>
        <v>-2.2487913008389801E-2</v>
      </c>
      <c r="AA6">
        <f t="shared" si="0"/>
        <v>0.19675501564775968</v>
      </c>
      <c r="AB6">
        <f t="shared" si="0"/>
        <v>-0.88066739937980565</v>
      </c>
      <c r="AC6">
        <f t="shared" si="0"/>
        <v>0.26215560384199665</v>
      </c>
      <c r="AD6">
        <f t="shared" si="0"/>
        <v>-0.17463300413013627</v>
      </c>
      <c r="AE6">
        <f t="shared" si="0"/>
        <v>41.487754582699033</v>
      </c>
      <c r="AF6">
        <f t="shared" si="0"/>
        <v>-3.8675898257616602E-2</v>
      </c>
      <c r="AG6">
        <f t="shared" si="0"/>
        <v>0.437</v>
      </c>
      <c r="AH6">
        <f t="shared" si="0"/>
        <v>0.51282679100499184</v>
      </c>
      <c r="AI6">
        <f t="shared" si="0"/>
        <v>58</v>
      </c>
      <c r="AJ6">
        <f t="shared" si="0"/>
        <v>2.8533072921550797</v>
      </c>
      <c r="AK6">
        <f t="shared" si="0"/>
        <v>60.620430043673124</v>
      </c>
      <c r="AL6">
        <f t="shared" si="0"/>
        <v>0.558605790424754</v>
      </c>
      <c r="AM6">
        <f t="shared" si="0"/>
        <v>0.3999999999999781</v>
      </c>
      <c r="AN6">
        <f t="shared" si="0"/>
        <v>-2.3234574435438464</v>
      </c>
      <c r="AO6">
        <f t="shared" si="0"/>
        <v>5.2990630567691817</v>
      </c>
      <c r="AP6">
        <f t="shared" si="0"/>
        <v>0.10821244340349476</v>
      </c>
      <c r="AQ6">
        <f t="shared" si="0"/>
        <v>0.437</v>
      </c>
      <c r="AR6">
        <f t="shared" si="3"/>
        <v>0.67540665046046</v>
      </c>
      <c r="AS6">
        <f t="shared" si="1"/>
        <v>58</v>
      </c>
    </row>
    <row r="7" spans="1:45" x14ac:dyDescent="0.3">
      <c r="A7" t="s">
        <v>21</v>
      </c>
      <c r="B7" t="b">
        <v>1</v>
      </c>
      <c r="C7" t="b">
        <v>1</v>
      </c>
      <c r="D7" t="s">
        <v>17</v>
      </c>
      <c r="E7">
        <v>6.6313164521339202E-2</v>
      </c>
      <c r="F7">
        <v>0.19999999998220849</v>
      </c>
      <c r="G7">
        <v>0.44840514298589429</v>
      </c>
      <c r="H7">
        <v>0.67797067507954367</v>
      </c>
      <c r="I7">
        <v>0.90414710327284364</v>
      </c>
      <c r="J7">
        <v>41.794497752247963</v>
      </c>
      <c r="K7">
        <v>4.8779087734848202E-2</v>
      </c>
      <c r="L7">
        <v>0.45</v>
      </c>
      <c r="M7">
        <v>0.51306826698693575</v>
      </c>
      <c r="N7">
        <v>296</v>
      </c>
      <c r="O7">
        <v>16.17586109909438</v>
      </c>
      <c r="P7">
        <v>70.207771289235694</v>
      </c>
      <c r="Q7">
        <v>1.459203298796814</v>
      </c>
      <c r="R7">
        <v>0.50000000000000011</v>
      </c>
      <c r="S7">
        <v>3.6765425564561331</v>
      </c>
      <c r="T7">
        <v>36.687804563861981</v>
      </c>
      <c r="U7">
        <v>0.1082134467850026</v>
      </c>
      <c r="V7">
        <v>0.45</v>
      </c>
      <c r="W7">
        <v>0.799432391105517</v>
      </c>
      <c r="X7">
        <v>296</v>
      </c>
      <c r="Z7">
        <f t="shared" si="2"/>
        <v>3.0299478673255401E-2</v>
      </c>
      <c r="AA7">
        <f t="shared" si="0"/>
        <v>-3.3176960916280696E-2</v>
      </c>
      <c r="AB7">
        <f t="shared" si="0"/>
        <v>-98.520604461525323</v>
      </c>
      <c r="AC7">
        <f t="shared" si="0"/>
        <v>1.0093492933775927E-2</v>
      </c>
      <c r="AD7">
        <f t="shared" si="0"/>
        <v>0.45253489296401594</v>
      </c>
      <c r="AE7">
        <f t="shared" si="0"/>
        <v>40.498170510632164</v>
      </c>
      <c r="AF7">
        <f t="shared" si="0"/>
        <v>-2.1070318441436999E-3</v>
      </c>
      <c r="AG7">
        <f t="shared" si="0"/>
        <v>0.46700000000000003</v>
      </c>
      <c r="AH7">
        <f t="shared" si="0"/>
        <v>-0.47608027104205297</v>
      </c>
      <c r="AI7">
        <f t="shared" si="0"/>
        <v>37</v>
      </c>
      <c r="AJ7">
        <f t="shared" si="0"/>
        <v>6.6963259103145401</v>
      </c>
      <c r="AK7">
        <f t="shared" si="0"/>
        <v>1.2022236051336677E-3</v>
      </c>
      <c r="AL7">
        <f t="shared" si="0"/>
        <v>-1.9360106007947226</v>
      </c>
      <c r="AM7">
        <f t="shared" si="0"/>
        <v>0.39999999999756408</v>
      </c>
      <c r="AN7">
        <f t="shared" si="0"/>
        <v>0.40379418689003987</v>
      </c>
      <c r="AO7">
        <f t="shared" si="0"/>
        <v>-31.512928144770068</v>
      </c>
      <c r="AP7">
        <f t="shared" si="0"/>
        <v>-0.35531681906472784</v>
      </c>
      <c r="AQ7">
        <f t="shared" si="0"/>
        <v>0.46700000000000003</v>
      </c>
      <c r="AR7">
        <f t="shared" si="3"/>
        <v>0.11265947905512846</v>
      </c>
      <c r="AS7">
        <f t="shared" si="1"/>
        <v>37</v>
      </c>
    </row>
    <row r="8" spans="1:45" x14ac:dyDescent="0.3">
      <c r="A8" t="s">
        <v>22</v>
      </c>
      <c r="B8" t="b">
        <v>1</v>
      </c>
      <c r="C8" t="b">
        <v>1</v>
      </c>
      <c r="D8" t="s">
        <v>17</v>
      </c>
      <c r="E8">
        <v>9.9367442259004998E-2</v>
      </c>
      <c r="F8">
        <v>3.5933334042016998E-2</v>
      </c>
      <c r="G8">
        <v>1.479395538474674</v>
      </c>
      <c r="H8">
        <v>5.9962816867892963</v>
      </c>
      <c r="I8">
        <v>1.4401299401671459</v>
      </c>
      <c r="J8">
        <v>40.598170510632187</v>
      </c>
      <c r="K8">
        <v>8.3743667505359002E-3</v>
      </c>
      <c r="L8">
        <v>0.53</v>
      </c>
      <c r="M8">
        <v>0.202776923156854</v>
      </c>
      <c r="N8">
        <v>296</v>
      </c>
      <c r="O8">
        <v>21.684117131044641</v>
      </c>
      <c r="P8">
        <v>99.999999995735635</v>
      </c>
      <c r="Q8">
        <v>9.9677645921227104E-2</v>
      </c>
      <c r="R8">
        <v>0.50000000000000011</v>
      </c>
      <c r="S8">
        <v>5.2574907833834201</v>
      </c>
      <c r="T8">
        <v>23.97439471739423</v>
      </c>
      <c r="U8">
        <v>0.16548419953627919</v>
      </c>
      <c r="V8">
        <v>0.53</v>
      </c>
      <c r="W8">
        <v>0.41275280586441149</v>
      </c>
      <c r="X8">
        <v>296</v>
      </c>
      <c r="Z8">
        <f t="shared" si="2"/>
        <v>-8.6158331762578408E-2</v>
      </c>
      <c r="AA8">
        <f t="shared" si="0"/>
        <v>-1.4166701305684402E-2</v>
      </c>
      <c r="AB8">
        <f t="shared" si="0"/>
        <v>-16.924887188888043</v>
      </c>
      <c r="AC8">
        <f t="shared" si="0"/>
        <v>4.7680968504166552</v>
      </c>
      <c r="AD8">
        <f t="shared" si="0"/>
        <v>4.2977965670715799</v>
      </c>
      <c r="AE8">
        <f t="shared" si="0"/>
        <v>64.235350806962217</v>
      </c>
      <c r="AF8">
        <f t="shared" si="0"/>
        <v>-0.23404970259176405</v>
      </c>
      <c r="AG8">
        <f t="shared" si="0"/>
        <v>146.80000000000001</v>
      </c>
      <c r="AH8">
        <f t="shared" si="0"/>
        <v>-5.6692482257121111E-2</v>
      </c>
      <c r="AI8">
        <f t="shared" si="0"/>
        <v>376</v>
      </c>
      <c r="AJ8">
        <f t="shared" si="0"/>
        <v>0.54304107988090067</v>
      </c>
      <c r="AK8">
        <f t="shared" si="0"/>
        <v>-4.0775782878100095</v>
      </c>
      <c r="AL8">
        <f t="shared" si="0"/>
        <v>25.475227741471407</v>
      </c>
      <c r="AM8">
        <f t="shared" si="0"/>
        <v>-0.40109716823264785</v>
      </c>
      <c r="AN8">
        <f t="shared" si="0"/>
        <v>-1.2574600903120494</v>
      </c>
      <c r="AO8">
        <f t="shared" si="0"/>
        <v>-4.0910967228797084</v>
      </c>
      <c r="AP8">
        <f t="shared" si="0"/>
        <v>6.4606748359013796E-2</v>
      </c>
      <c r="AQ8">
        <f t="shared" si="0"/>
        <v>146.80000000000001</v>
      </c>
      <c r="AR8">
        <f t="shared" si="3"/>
        <v>-0.11856926778024041</v>
      </c>
      <c r="AS8">
        <f t="shared" si="1"/>
        <v>376</v>
      </c>
    </row>
    <row r="9" spans="1:45" x14ac:dyDescent="0.3">
      <c r="A9" t="s">
        <v>23</v>
      </c>
      <c r="B9" t="b">
        <v>0</v>
      </c>
      <c r="C9" t="b">
        <v>1</v>
      </c>
      <c r="D9" t="s">
        <v>17</v>
      </c>
      <c r="E9">
        <v>4.8070763891553004E-3</v>
      </c>
      <c r="F9">
        <v>4.2703608623009997E-3</v>
      </c>
      <c r="G9">
        <v>0.2341445176618574</v>
      </c>
      <c r="H9">
        <v>4.8680968504166771</v>
      </c>
      <c r="I9">
        <v>4.3978140621898136</v>
      </c>
      <c r="J9">
        <v>78.455358759983312</v>
      </c>
      <c r="K9">
        <v>0.76595029740821197</v>
      </c>
      <c r="L9">
        <v>150</v>
      </c>
      <c r="M9">
        <v>1.5099033134902129E-13</v>
      </c>
      <c r="N9">
        <v>648</v>
      </c>
      <c r="O9">
        <v>25</v>
      </c>
      <c r="P9">
        <v>21.62797817663629</v>
      </c>
      <c r="Q9">
        <v>25.902835216460481</v>
      </c>
      <c r="R9">
        <v>0.50000000000000011</v>
      </c>
      <c r="S9">
        <v>0.53773141463125074</v>
      </c>
      <c r="T9">
        <v>27.62887276169209</v>
      </c>
      <c r="U9">
        <v>9.2995543833837596E-2</v>
      </c>
      <c r="V9">
        <v>150</v>
      </c>
      <c r="W9">
        <v>0.31580803580830158</v>
      </c>
      <c r="X9">
        <v>648</v>
      </c>
      <c r="Z9">
        <f t="shared" si="2"/>
        <v>2.1209511688104199E-2</v>
      </c>
      <c r="AA9">
        <f t="shared" si="0"/>
        <v>1.9459749251738989E-3</v>
      </c>
      <c r="AB9">
        <f t="shared" si="0"/>
        <v>118.27009472696955</v>
      </c>
      <c r="AC9">
        <f t="shared" si="0"/>
        <v>-1.5050521482138302</v>
      </c>
      <c r="AD9">
        <f t="shared" si="0"/>
        <v>-0.44945876544920615</v>
      </c>
      <c r="AE9">
        <f t="shared" si="0"/>
        <v>-61.361506632981467</v>
      </c>
      <c r="AF9">
        <f t="shared" si="0"/>
        <v>0.28154854388555672</v>
      </c>
      <c r="AG9">
        <f t="shared" si="0"/>
        <v>-0.13699999999999998</v>
      </c>
      <c r="AH9">
        <f t="shared" si="0"/>
        <v>1.9561988244950496E-2</v>
      </c>
      <c r="AI9">
        <f t="shared" si="0"/>
        <v>-58</v>
      </c>
      <c r="AJ9">
        <f t="shared" si="0"/>
        <v>-3.5310218283176891</v>
      </c>
      <c r="AK9">
        <f t="shared" si="0"/>
        <v>-90.906802305939053</v>
      </c>
      <c r="AL9">
        <f t="shared" si="0"/>
        <v>3.1875935405547802</v>
      </c>
      <c r="AM9">
        <f t="shared" si="0"/>
        <v>-1.3186534780657788E-2</v>
      </c>
      <c r="AN9">
        <f t="shared" si="0"/>
        <v>2.226208087502398</v>
      </c>
      <c r="AO9">
        <f t="shared" si="0"/>
        <v>6.8621428714351751</v>
      </c>
      <c r="AP9">
        <f t="shared" si="0"/>
        <v>-8.084365811205349E-2</v>
      </c>
      <c r="AQ9">
        <f t="shared" si="0"/>
        <v>-0.13699999999999998</v>
      </c>
      <c r="AR9">
        <f t="shared" si="3"/>
        <v>-0.42765291206355754</v>
      </c>
      <c r="AS9">
        <f t="shared" si="1"/>
        <v>-58</v>
      </c>
    </row>
    <row r="10" spans="1:45" x14ac:dyDescent="0.3">
      <c r="A10" t="s">
        <v>24</v>
      </c>
      <c r="B10" t="b">
        <v>1</v>
      </c>
      <c r="C10" t="b">
        <v>1</v>
      </c>
      <c r="D10" t="s">
        <v>17</v>
      </c>
      <c r="E10">
        <v>8.8232423486179504E-2</v>
      </c>
      <c r="F10">
        <v>1.10411350782422E-2</v>
      </c>
      <c r="G10">
        <v>118.6934846842059</v>
      </c>
      <c r="H10">
        <v>0.50000000000000011</v>
      </c>
      <c r="I10">
        <v>4.6094775050104042</v>
      </c>
      <c r="J10">
        <v>4.1544908091773376</v>
      </c>
      <c r="K10">
        <v>0.86802644604554569</v>
      </c>
      <c r="L10">
        <v>1.2999999999999999E-2</v>
      </c>
      <c r="M10">
        <v>1.95619867283441E-2</v>
      </c>
      <c r="N10">
        <v>238</v>
      </c>
      <c r="O10">
        <v>13.635614412638811</v>
      </c>
      <c r="P10">
        <v>9.0931976939293424</v>
      </c>
      <c r="Q10">
        <v>3.4552695402606051</v>
      </c>
      <c r="R10">
        <v>0.50000000000040323</v>
      </c>
      <c r="S10">
        <v>5.9999999962794579</v>
      </c>
      <c r="T10">
        <v>46.520829513712172</v>
      </c>
      <c r="U10">
        <v>1.000000134500188E-6</v>
      </c>
      <c r="V10">
        <v>1.2999999999999999E-2</v>
      </c>
      <c r="W10">
        <v>0.1093913331071034</v>
      </c>
      <c r="X10">
        <v>238</v>
      </c>
      <c r="Z10">
        <f t="shared" si="2"/>
        <v>-3.0653727434886091E-2</v>
      </c>
      <c r="AA10">
        <f t="shared" si="0"/>
        <v>2.3285746475849502E-2</v>
      </c>
      <c r="AB10">
        <f t="shared" si="0"/>
        <v>277.56589788109892</v>
      </c>
      <c r="AC10">
        <f t="shared" si="0"/>
        <v>4.0002826782197989</v>
      </c>
      <c r="AD10">
        <f t="shared" si="0"/>
        <v>3.0950020453824578</v>
      </c>
      <c r="AE10">
        <f t="shared" si="0"/>
        <v>3.5454559169362421</v>
      </c>
      <c r="AF10">
        <f t="shared" si="0"/>
        <v>-0.93080366535030379</v>
      </c>
      <c r="AG10">
        <f t="shared" si="0"/>
        <v>2.4000000000000004</v>
      </c>
      <c r="AH10">
        <f t="shared" si="0"/>
        <v>0.1584789435945807</v>
      </c>
      <c r="AI10">
        <f t="shared" si="0"/>
        <v>-24</v>
      </c>
      <c r="AJ10">
        <f t="shared" si="0"/>
        <v>8.3775849437943712</v>
      </c>
      <c r="AK10">
        <f t="shared" si="0"/>
        <v>-75.61809069671466</v>
      </c>
      <c r="AL10">
        <f t="shared" si="0"/>
        <v>2.3717361768641751</v>
      </c>
      <c r="AM10">
        <f t="shared" si="0"/>
        <v>0.26139974389613496</v>
      </c>
      <c r="AN10">
        <f t="shared" si="0"/>
        <v>1.1592406847785921</v>
      </c>
      <c r="AO10">
        <f t="shared" si="0"/>
        <v>-1.3196921979353107</v>
      </c>
      <c r="AP10">
        <f t="shared" si="0"/>
        <v>-4.016946960309721E-2</v>
      </c>
      <c r="AQ10">
        <f t="shared" si="0"/>
        <v>2.4000000000000004</v>
      </c>
      <c r="AR10">
        <f t="shared" si="3"/>
        <v>-0.16882302946804573</v>
      </c>
      <c r="AS10">
        <f t="shared" si="1"/>
        <v>-24</v>
      </c>
    </row>
    <row r="11" spans="1:45" x14ac:dyDescent="0.3">
      <c r="A11" t="s">
        <v>25</v>
      </c>
      <c r="B11" t="b">
        <v>1</v>
      </c>
      <c r="C11" t="b">
        <v>0</v>
      </c>
      <c r="D11" t="s">
        <v>17</v>
      </c>
      <c r="E11">
        <v>8.3187417527604904E-2</v>
      </c>
      <c r="F11">
        <v>4.5904723161781402E-2</v>
      </c>
      <c r="G11">
        <v>279.89416257411102</v>
      </c>
      <c r="H11">
        <v>4.2372617382558042</v>
      </c>
      <c r="I11">
        <v>5.999998495361198</v>
      </c>
      <c r="J11">
        <v>7.319285979125552</v>
      </c>
      <c r="K11">
        <v>6.9196334649674202E-2</v>
      </c>
      <c r="L11">
        <v>3.6</v>
      </c>
      <c r="M11">
        <v>0.20198451537183509</v>
      </c>
      <c r="N11">
        <v>272</v>
      </c>
      <c r="O11">
        <v>18.069228735844451</v>
      </c>
      <c r="P11">
        <v>24.38190919701324</v>
      </c>
      <c r="Q11">
        <v>3.1446766755421831</v>
      </c>
      <c r="R11">
        <v>0.50000000000030498</v>
      </c>
      <c r="S11">
        <v>3.5621181683931722</v>
      </c>
      <c r="T11">
        <v>29.016236365874889</v>
      </c>
      <c r="U11">
        <v>0.1173077006235098</v>
      </c>
      <c r="V11">
        <v>3.6</v>
      </c>
      <c r="W11">
        <v>0.34373257088265829</v>
      </c>
      <c r="X11">
        <v>272</v>
      </c>
      <c r="Z11">
        <f t="shared" si="2"/>
        <v>1.0207489400799498E-2</v>
      </c>
      <c r="AA11">
        <f t="shared" si="0"/>
        <v>4.4558214208857902E-2</v>
      </c>
      <c r="AB11">
        <f t="shared" si="0"/>
        <v>263.19059825319613</v>
      </c>
      <c r="AC11">
        <f t="shared" si="0"/>
        <v>4.2067223680908796</v>
      </c>
      <c r="AD11">
        <f t="shared" si="0"/>
        <v>-0.97355991903218231</v>
      </c>
      <c r="AE11">
        <f t="shared" si="0"/>
        <v>-7.008205352245235</v>
      </c>
      <c r="AF11">
        <f t="shared" si="0"/>
        <v>-4.8599825649904699E-2</v>
      </c>
      <c r="AG11">
        <f t="shared" si="0"/>
        <v>-0.46700000000000003</v>
      </c>
      <c r="AH11">
        <f t="shared" si="0"/>
        <v>0.57060883618913938</v>
      </c>
      <c r="AI11">
        <f t="shared" si="0"/>
        <v>-37</v>
      </c>
      <c r="AJ11">
        <f t="shared" si="0"/>
        <v>2.5861673597526398</v>
      </c>
      <c r="AK11">
        <f t="shared" si="0"/>
        <v>-84.945648755336919</v>
      </c>
      <c r="AL11">
        <f t="shared" si="0"/>
        <v>-0.1055044466566199</v>
      </c>
      <c r="AM11">
        <f t="shared" si="0"/>
        <v>9.806020928270609E-2</v>
      </c>
      <c r="AN11">
        <f t="shared" si="0"/>
        <v>3.9104394652193881</v>
      </c>
      <c r="AO11">
        <f t="shared" si="0"/>
        <v>14.266910844804791</v>
      </c>
      <c r="AP11">
        <f t="shared" si="0"/>
        <v>-7.7363172741296934E-2</v>
      </c>
      <c r="AQ11">
        <f t="shared" si="0"/>
        <v>-0.46700000000000003</v>
      </c>
      <c r="AR11">
        <f t="shared" si="3"/>
        <v>-0.41263867061393117</v>
      </c>
      <c r="AS11">
        <f t="shared" si="1"/>
        <v>-37</v>
      </c>
    </row>
    <row r="12" spans="1:45" x14ac:dyDescent="0.3">
      <c r="A12" t="s">
        <v>26</v>
      </c>
      <c r="B12" t="b">
        <v>1</v>
      </c>
      <c r="C12" t="b">
        <v>1</v>
      </c>
      <c r="D12" t="s">
        <v>17</v>
      </c>
      <c r="E12">
        <v>6.9077500037412295E-2</v>
      </c>
      <c r="F12">
        <v>6.9090961447020302E-2</v>
      </c>
      <c r="G12">
        <v>306.70582557689931</v>
      </c>
      <c r="H12">
        <v>5.9988989037628997</v>
      </c>
      <c r="I12">
        <v>0.50341762135169776</v>
      </c>
      <c r="J12">
        <v>1.0001496257365201E-2</v>
      </c>
      <c r="K12">
        <v>8.3104975994458003E-3</v>
      </c>
      <c r="L12">
        <v>6.3E-2</v>
      </c>
      <c r="M12">
        <v>0.68054360609875642</v>
      </c>
      <c r="N12">
        <v>259</v>
      </c>
      <c r="O12">
        <v>15.87707796860964</v>
      </c>
      <c r="P12">
        <v>15.05435122951968</v>
      </c>
      <c r="Q12">
        <v>0.2292733668639631</v>
      </c>
      <c r="R12">
        <v>0.50000000000000011</v>
      </c>
      <c r="S12">
        <v>5.9999999999999982</v>
      </c>
      <c r="T12">
        <v>40.052145006853891</v>
      </c>
      <c r="U12">
        <v>1.000089745565927E-6</v>
      </c>
      <c r="V12">
        <v>6.3E-2</v>
      </c>
      <c r="W12">
        <v>0.26840324470667581</v>
      </c>
      <c r="X12">
        <v>259</v>
      </c>
      <c r="Z12">
        <f t="shared" si="2"/>
        <v>-0.1017505544933431</v>
      </c>
      <c r="AA12">
        <f t="shared" si="0"/>
        <v>-9.6745498035280944E-2</v>
      </c>
      <c r="AB12">
        <f t="shared" si="0"/>
        <v>-0.79750728242319247</v>
      </c>
      <c r="AC12">
        <f t="shared" si="0"/>
        <v>-1.0705183073347213</v>
      </c>
      <c r="AD12">
        <f t="shared" si="0"/>
        <v>3.7443753586242448</v>
      </c>
      <c r="AE12">
        <f t="shared" si="0"/>
        <v>62.315739830490543</v>
      </c>
      <c r="AF12">
        <f t="shared" si="0"/>
        <v>0.96604832867573831</v>
      </c>
      <c r="AG12">
        <f t="shared" si="0"/>
        <v>0.61</v>
      </c>
      <c r="AH12">
        <f t="shared" si="0"/>
        <v>-0.80092907408420611</v>
      </c>
      <c r="AI12">
        <f t="shared" si="0"/>
        <v>353</v>
      </c>
      <c r="AJ12">
        <f t="shared" si="0"/>
        <v>14.173612971111099</v>
      </c>
      <c r="AK12">
        <f t="shared" si="0"/>
        <v>-43.759759301609968</v>
      </c>
      <c r="AL12">
        <f t="shared" si="0"/>
        <v>6.1187665617855007</v>
      </c>
      <c r="AM12">
        <f t="shared" si="0"/>
        <v>-0.39840403738467389</v>
      </c>
      <c r="AN12">
        <f t="shared" si="0"/>
        <v>-2.6463572337833732</v>
      </c>
      <c r="AO12">
        <f t="shared" si="0"/>
        <v>-20.046665395688805</v>
      </c>
      <c r="AP12">
        <f t="shared" si="0"/>
        <v>9.9610539895743991E-3</v>
      </c>
      <c r="AQ12">
        <f t="shared" si="0"/>
        <v>0.61</v>
      </c>
      <c r="AR12">
        <f t="shared" si="3"/>
        <v>-0.76818598546482075</v>
      </c>
      <c r="AS12">
        <f t="shared" si="1"/>
        <v>353</v>
      </c>
    </row>
    <row r="13" spans="1:45" x14ac:dyDescent="0.3">
      <c r="A13" t="s">
        <v>27</v>
      </c>
      <c r="B13" t="b">
        <v>0</v>
      </c>
      <c r="C13" t="b">
        <v>1</v>
      </c>
      <c r="D13" t="s">
        <v>17</v>
      </c>
      <c r="E13">
        <v>3.7292578125789001E-3</v>
      </c>
      <c r="F13">
        <v>2.931548155152948E-6</v>
      </c>
      <c r="G13">
        <v>2.6845839519750001E-4</v>
      </c>
      <c r="H13">
        <v>0.56684926627573873</v>
      </c>
      <c r="I13">
        <v>5.9882513122869847</v>
      </c>
      <c r="J13">
        <v>95.95352375667224</v>
      </c>
      <c r="K13">
        <v>0.9992671054460992</v>
      </c>
      <c r="L13">
        <v>0.85</v>
      </c>
      <c r="M13">
        <v>-1.5099033134902129E-14</v>
      </c>
      <c r="N13">
        <v>612</v>
      </c>
      <c r="O13">
        <v>25</v>
      </c>
      <c r="P13">
        <v>19.94986241119193</v>
      </c>
      <c r="Q13">
        <v>7.0219317347042596</v>
      </c>
      <c r="R13">
        <v>0.50000000000000011</v>
      </c>
      <c r="S13">
        <v>0.82685628688384682</v>
      </c>
      <c r="T13">
        <v>34.305304640334192</v>
      </c>
      <c r="U13">
        <v>5.7942372202719902E-2</v>
      </c>
      <c r="V13">
        <v>0.85</v>
      </c>
      <c r="W13">
        <v>8.51845120476242E-2</v>
      </c>
      <c r="X13">
        <v>612</v>
      </c>
      <c r="Z13">
        <f t="shared" si="2"/>
        <v>8.7818682747718188E-2</v>
      </c>
      <c r="AA13">
        <f t="shared" si="0"/>
        <v>-0.18465228055465199</v>
      </c>
      <c r="AB13">
        <f t="shared" si="0"/>
        <v>560.86391117440769</v>
      </c>
      <c r="AC13">
        <f t="shared" si="0"/>
        <v>-3.7756543000782896</v>
      </c>
      <c r="AD13">
        <f t="shared" si="0"/>
        <v>-5.1788752302753585</v>
      </c>
      <c r="AE13">
        <f t="shared" si="0"/>
        <v>-33.956913076363982</v>
      </c>
      <c r="AF13">
        <f t="shared" si="0"/>
        <v>0.82612446560797159</v>
      </c>
      <c r="AG13">
        <f t="shared" si="0"/>
        <v>-146.80000000000001</v>
      </c>
      <c r="AH13">
        <f t="shared" si="0"/>
        <v>-3.5903116884711206E-2</v>
      </c>
      <c r="AI13">
        <f t="shared" si="0"/>
        <v>-376</v>
      </c>
      <c r="AJ13">
        <f t="shared" si="0"/>
        <v>-0.54336290790024933</v>
      </c>
      <c r="AK13">
        <f t="shared" si="0"/>
        <v>-2.406835514214599</v>
      </c>
      <c r="AL13">
        <f t="shared" si="0"/>
        <v>-4.2040298843379977</v>
      </c>
      <c r="AM13">
        <f t="shared" si="0"/>
        <v>0.62590150894937602</v>
      </c>
      <c r="AN13">
        <f t="shared" si="0"/>
        <v>1.2767254292005781</v>
      </c>
      <c r="AO13">
        <f t="shared" si="0"/>
        <v>6.9436427997970114</v>
      </c>
      <c r="AP13">
        <f t="shared" si="0"/>
        <v>-0.1011874014058841</v>
      </c>
      <c r="AQ13">
        <f t="shared" si="0"/>
        <v>-146.80000000000001</v>
      </c>
      <c r="AR13">
        <f t="shared" si="3"/>
        <v>9.3687772962364801E-2</v>
      </c>
      <c r="AS13">
        <f t="shared" si="1"/>
        <v>-376</v>
      </c>
    </row>
    <row r="14" spans="1:45" x14ac:dyDescent="0.3">
      <c r="A14" t="s">
        <v>28</v>
      </c>
      <c r="B14" t="b">
        <v>1</v>
      </c>
      <c r="C14" t="b">
        <v>1</v>
      </c>
      <c r="D14" t="s">
        <v>17</v>
      </c>
      <c r="E14">
        <v>9.2440249662470594E-2</v>
      </c>
      <c r="F14">
        <v>1.5049881977722E-2</v>
      </c>
      <c r="G14">
        <v>560.91379181539799</v>
      </c>
      <c r="H14">
        <v>0.50000000000000011</v>
      </c>
      <c r="I14">
        <v>0.82112476972461168</v>
      </c>
      <c r="J14">
        <v>1.00068848257209E-2</v>
      </c>
      <c r="K14">
        <v>0.84803753690999961</v>
      </c>
      <c r="L14">
        <v>3.2</v>
      </c>
      <c r="M14">
        <v>5.1429967321182699E-2</v>
      </c>
      <c r="N14">
        <v>272</v>
      </c>
      <c r="O14">
        <v>24.456637092099751</v>
      </c>
      <c r="P14">
        <v>25.706267821968002</v>
      </c>
      <c r="Q14">
        <v>0.29855058615748231</v>
      </c>
      <c r="R14">
        <v>0.90103561004588395</v>
      </c>
      <c r="S14">
        <v>1.795212620384276</v>
      </c>
      <c r="T14">
        <v>25.964766226343411</v>
      </c>
      <c r="U14">
        <v>2.8392214212564899E-2</v>
      </c>
      <c r="V14">
        <v>3.2</v>
      </c>
      <c r="W14">
        <v>0.4343773036398188</v>
      </c>
      <c r="X14">
        <v>272</v>
      </c>
      <c r="Z14">
        <f t="shared" si="2"/>
        <v>6.3395605923340009E-2</v>
      </c>
      <c r="AA14">
        <f t="shared" si="0"/>
        <v>1.4727562485128002E-3</v>
      </c>
      <c r="AB14">
        <f t="shared" si="0"/>
        <v>-67.069114707518551</v>
      </c>
      <c r="AC14">
        <f t="shared" si="0"/>
        <v>4.1041713633374322</v>
      </c>
      <c r="AD14">
        <f t="shared" si="0"/>
        <v>4.724519095917171</v>
      </c>
      <c r="AE14">
        <f t="shared" si="0"/>
        <v>65.82216272466097</v>
      </c>
      <c r="AF14">
        <f t="shared" si="0"/>
        <v>0.87055780176531561</v>
      </c>
      <c r="AG14">
        <f t="shared" si="0"/>
        <v>-0.7</v>
      </c>
      <c r="AH14">
        <f t="shared" si="0"/>
        <v>-4.1649026526924307E-5</v>
      </c>
      <c r="AI14">
        <f t="shared" si="0"/>
        <v>-316</v>
      </c>
      <c r="AJ14">
        <f t="shared" si="0"/>
        <v>-7.8330276414401183</v>
      </c>
      <c r="AK14">
        <f t="shared" si="0"/>
        <v>54.156251879545614</v>
      </c>
      <c r="AL14">
        <f t="shared" si="0"/>
        <v>-0.20437750690317019</v>
      </c>
      <c r="AM14">
        <f t="shared" si="0"/>
        <v>0.41322121975888054</v>
      </c>
      <c r="AN14">
        <f t="shared" si="0"/>
        <v>3.5612525395592227</v>
      </c>
      <c r="AO14">
        <f t="shared" si="0"/>
        <v>-22.362947738760461</v>
      </c>
      <c r="AP14">
        <f t="shared" si="0"/>
        <v>2.2550016392985595E-2</v>
      </c>
      <c r="AQ14">
        <f t="shared" si="0"/>
        <v>-0.7</v>
      </c>
      <c r="AR14">
        <f t="shared" si="3"/>
        <v>0.33556904607570559</v>
      </c>
      <c r="AS14">
        <f t="shared" si="1"/>
        <v>-316</v>
      </c>
    </row>
    <row r="15" spans="1:45" x14ac:dyDescent="0.3">
      <c r="A15" t="s">
        <v>29</v>
      </c>
      <c r="B15" t="b">
        <v>1</v>
      </c>
      <c r="C15" t="b">
        <v>1</v>
      </c>
      <c r="D15" t="s">
        <v>17</v>
      </c>
      <c r="E15">
        <v>6.7022892798168004E-2</v>
      </c>
      <c r="F15">
        <v>1.5839969154217001E-3</v>
      </c>
      <c r="G15">
        <v>0.1136098716066524</v>
      </c>
      <c r="H15">
        <v>4.2041960879424813</v>
      </c>
      <c r="I15">
        <v>5.2600932634766711</v>
      </c>
      <c r="J15">
        <v>72.174163951774048</v>
      </c>
      <c r="K15">
        <v>0.90421273161324756</v>
      </c>
      <c r="L15">
        <v>0.15</v>
      </c>
      <c r="M15">
        <v>-7.3718808835110407E-14</v>
      </c>
      <c r="N15">
        <v>296</v>
      </c>
      <c r="O15">
        <v>17.166972358559882</v>
      </c>
      <c r="P15">
        <v>99.999999999999815</v>
      </c>
      <c r="Q15">
        <v>0.4054264533957998</v>
      </c>
      <c r="R15">
        <v>0.51322121975890655</v>
      </c>
      <c r="S15">
        <v>3.7736345740559929</v>
      </c>
      <c r="T15">
        <v>44.273309079235737</v>
      </c>
      <c r="U15">
        <v>8.0833459182025794E-2</v>
      </c>
      <c r="V15">
        <v>0.15</v>
      </c>
      <c r="W15">
        <v>0.53704424450358457</v>
      </c>
      <c r="X15">
        <v>296</v>
      </c>
      <c r="Z15">
        <f t="shared" si="2"/>
        <v>0.11059557645380851</v>
      </c>
      <c r="AA15">
        <f t="shared" si="0"/>
        <v>1.72002945383391E-2</v>
      </c>
      <c r="AB15">
        <f t="shared" si="0"/>
        <v>979.7247834535217</v>
      </c>
      <c r="AC15">
        <f t="shared" si="0"/>
        <v>0.33958730960269812</v>
      </c>
      <c r="AD15">
        <f t="shared" si="0"/>
        <v>1.0112104722717921</v>
      </c>
      <c r="AE15">
        <f t="shared" si="0"/>
        <v>-66.39770773182839</v>
      </c>
      <c r="AF15">
        <f t="shared" si="0"/>
        <v>1.0342270779784002E-6</v>
      </c>
      <c r="AG15">
        <f t="shared" si="0"/>
        <v>0.53999999999999992</v>
      </c>
      <c r="AH15">
        <f t="shared" si="0"/>
        <v>-2.0785637735670007E-3</v>
      </c>
      <c r="AI15">
        <f t="shared" si="0"/>
        <v>-292</v>
      </c>
      <c r="AJ15">
        <f t="shared" si="0"/>
        <v>-11.381673547271401</v>
      </c>
      <c r="AK15">
        <f t="shared" si="0"/>
        <v>27.782040410045802</v>
      </c>
      <c r="AL15">
        <f t="shared" si="0"/>
        <v>-12.368628348876884</v>
      </c>
      <c r="AM15">
        <f t="shared" si="0"/>
        <v>0.40000000002401875</v>
      </c>
      <c r="AN15">
        <f t="shared" si="0"/>
        <v>3.1545656254507697</v>
      </c>
      <c r="AO15">
        <f t="shared" si="0"/>
        <v>10.596676270413461</v>
      </c>
      <c r="AP15">
        <f t="shared" si="0"/>
        <v>-0.70986790810969491</v>
      </c>
      <c r="AQ15">
        <f t="shared" si="0"/>
        <v>0.53999999999999992</v>
      </c>
      <c r="AR15">
        <f t="shared" si="3"/>
        <v>0.33660420477232844</v>
      </c>
      <c r="AS15">
        <f t="shared" si="1"/>
        <v>-292</v>
      </c>
    </row>
    <row r="16" spans="1:45" x14ac:dyDescent="0.3">
      <c r="A16" t="s">
        <v>30</v>
      </c>
      <c r="B16" t="b">
        <v>1</v>
      </c>
      <c r="C16" t="b">
        <v>1</v>
      </c>
      <c r="D16" t="s">
        <v>17</v>
      </c>
      <c r="E16">
        <v>0.1142794113222398</v>
      </c>
      <c r="F16">
        <v>1.8522957516760599E-2</v>
      </c>
      <c r="G16">
        <v>999.9831828098022</v>
      </c>
      <c r="H16">
        <v>0.50000000000000011</v>
      </c>
      <c r="I16">
        <v>1.111210474804843</v>
      </c>
      <c r="J16">
        <v>0.01</v>
      </c>
      <c r="K16">
        <v>1</v>
      </c>
      <c r="L16">
        <v>1.2</v>
      </c>
      <c r="M16">
        <v>4.2792784796036598E-2</v>
      </c>
      <c r="N16">
        <v>296</v>
      </c>
      <c r="O16">
        <v>13.618326452728599</v>
      </c>
      <c r="P16">
        <v>39.5543196097207</v>
      </c>
      <c r="Q16">
        <v>5.8497979447977162</v>
      </c>
      <c r="R16">
        <v>0.50000000002404077</v>
      </c>
      <c r="S16">
        <v>4.8387343930502196</v>
      </c>
      <c r="T16">
        <v>30.067358438254161</v>
      </c>
      <c r="U16">
        <v>0.15244195477367109</v>
      </c>
      <c r="V16">
        <v>1.2</v>
      </c>
      <c r="W16">
        <v>0.50137479612809543</v>
      </c>
      <c r="X16">
        <v>296</v>
      </c>
      <c r="Z16">
        <f t="shared" si="2"/>
        <v>-7.9296038902955002E-2</v>
      </c>
      <c r="AA16">
        <f t="shared" si="0"/>
        <v>0.15370411170263429</v>
      </c>
      <c r="AB16">
        <f t="shared" si="0"/>
        <v>102.7036074939686</v>
      </c>
      <c r="AC16">
        <f t="shared" si="0"/>
        <v>1.7623468187197817</v>
      </c>
      <c r="AD16">
        <f t="shared" si="0"/>
        <v>-0.16101920330979702</v>
      </c>
      <c r="AE16">
        <f t="shared" si="0"/>
        <v>83.839248667833431</v>
      </c>
      <c r="AF16">
        <f t="shared" si="0"/>
        <v>0.35640356048433031</v>
      </c>
      <c r="AG16">
        <f t="shared" si="0"/>
        <v>-2.94</v>
      </c>
      <c r="AH16">
        <f t="shared" si="0"/>
        <v>-0.20184462080475418</v>
      </c>
      <c r="AI16">
        <f t="shared" si="0"/>
        <v>316</v>
      </c>
      <c r="AJ16">
        <f t="shared" si="0"/>
        <v>8.5356026588371492</v>
      </c>
      <c r="AK16">
        <f t="shared" si="0"/>
        <v>-24.999732357907185</v>
      </c>
      <c r="AL16">
        <f t="shared" si="0"/>
        <v>252.0744183617459</v>
      </c>
      <c r="AM16">
        <f t="shared" si="0"/>
        <v>5.2025619857395604</v>
      </c>
      <c r="AN16">
        <f t="shared" si="0"/>
        <v>3.0900192316516026</v>
      </c>
      <c r="AO16">
        <f t="shared" si="0"/>
        <v>-23.976603281447773</v>
      </c>
      <c r="AP16">
        <f t="shared" si="0"/>
        <v>-0.10087842327037919</v>
      </c>
      <c r="AQ16">
        <f t="shared" si="0"/>
        <v>-2.94</v>
      </c>
      <c r="AR16">
        <f t="shared" si="3"/>
        <v>-0.20789499406900619</v>
      </c>
      <c r="AS16">
        <f t="shared" si="1"/>
        <v>316</v>
      </c>
    </row>
    <row r="17" spans="1:45" x14ac:dyDescent="0.3">
      <c r="A17" t="s">
        <v>31</v>
      </c>
      <c r="B17" t="b">
        <v>0</v>
      </c>
      <c r="C17" t="b">
        <v>1</v>
      </c>
      <c r="D17" t="s">
        <v>17</v>
      </c>
      <c r="E17">
        <v>3.8911928141340001E-3</v>
      </c>
      <c r="F17">
        <v>0.19960841458942899</v>
      </c>
      <c r="G17">
        <v>160.7991352583557</v>
      </c>
      <c r="H17">
        <v>5.9998266224481718</v>
      </c>
      <c r="I17">
        <v>5.838980796690163</v>
      </c>
      <c r="J17">
        <v>89.47069992637104</v>
      </c>
      <c r="K17">
        <v>0.4255981152782366</v>
      </c>
      <c r="L17">
        <v>0.66</v>
      </c>
      <c r="M17">
        <v>1.3989590727480001E-4</v>
      </c>
      <c r="N17">
        <v>588</v>
      </c>
      <c r="O17">
        <v>24.830527820121649</v>
      </c>
      <c r="P17">
        <v>7.5874902608473178</v>
      </c>
      <c r="Q17">
        <v>253.24585552407439</v>
      </c>
      <c r="R17">
        <v>5.5429148912397208</v>
      </c>
      <c r="S17">
        <v>5.9999999999998526</v>
      </c>
      <c r="T17">
        <v>0.58719679903432864</v>
      </c>
      <c r="U17">
        <v>4.0988159736841799E-2</v>
      </c>
      <c r="V17">
        <v>0.66</v>
      </c>
      <c r="W17">
        <v>0.13983663137827579</v>
      </c>
      <c r="X17">
        <v>588</v>
      </c>
      <c r="Z17">
        <f t="shared" si="2"/>
        <v>6.468446610286005E-8</v>
      </c>
      <c r="AA17">
        <f t="shared" si="2"/>
        <v>0.18169728716691722</v>
      </c>
      <c r="AB17">
        <f t="shared" si="2"/>
        <v>-0.71157866114670032</v>
      </c>
      <c r="AC17">
        <f t="shared" si="2"/>
        <v>-0.79920279426587904</v>
      </c>
      <c r="AD17">
        <f t="shared" si="2"/>
        <v>3.0375623353634364</v>
      </c>
      <c r="AE17">
        <f t="shared" si="2"/>
        <v>36.418366715660575</v>
      </c>
      <c r="AF17">
        <f t="shared" si="2"/>
        <v>0.55071267088135922</v>
      </c>
      <c r="AG17">
        <f t="shared" si="2"/>
        <v>0</v>
      </c>
      <c r="AH17">
        <f t="shared" si="2"/>
        <v>6.4568694047029172E-7</v>
      </c>
      <c r="AI17">
        <f t="shared" si="2"/>
        <v>0</v>
      </c>
      <c r="AJ17">
        <f t="shared" si="2"/>
        <v>-4.2632848387569311E-5</v>
      </c>
      <c r="AK17">
        <f t="shared" si="2"/>
        <v>5.6175414407277913E-5</v>
      </c>
      <c r="AL17">
        <f t="shared" si="2"/>
        <v>0.49884572909653002</v>
      </c>
      <c r="AM17">
        <f t="shared" si="2"/>
        <v>-2.357399032804075E-5</v>
      </c>
      <c r="AN17">
        <f t="shared" si="2"/>
        <v>1.9797074944971627E-4</v>
      </c>
      <c r="AO17">
        <f t="shared" si="2"/>
        <v>15.885956390966541</v>
      </c>
      <c r="AP17">
        <f t="shared" ref="AP17:AQ27" si="4">(U18-U45)</f>
        <v>2.3699644550994464E-6</v>
      </c>
      <c r="AQ17">
        <f t="shared" si="4"/>
        <v>0</v>
      </c>
      <c r="AR17">
        <f t="shared" si="3"/>
        <v>-9.3523189192978862E-11</v>
      </c>
      <c r="AS17">
        <f t="shared" si="1"/>
        <v>0</v>
      </c>
    </row>
    <row r="18" spans="1:45" x14ac:dyDescent="0.3">
      <c r="A18" t="s">
        <v>32</v>
      </c>
      <c r="B18" t="b">
        <v>1</v>
      </c>
      <c r="C18" t="b">
        <v>1</v>
      </c>
      <c r="D18" t="s">
        <v>33</v>
      </c>
      <c r="E18">
        <v>6.9684330305153697E-2</v>
      </c>
      <c r="F18">
        <v>0.19998794445283261</v>
      </c>
      <c r="G18">
        <v>8.3371209631226996E-3</v>
      </c>
      <c r="H18">
        <v>0.504473100110711</v>
      </c>
      <c r="I18">
        <v>5.9550282824267367</v>
      </c>
      <c r="J18">
        <v>80.319836513446475</v>
      </c>
      <c r="K18">
        <v>0.99735085486010921</v>
      </c>
      <c r="L18">
        <v>2.8</v>
      </c>
      <c r="M18">
        <v>1.1182055281722109E-11</v>
      </c>
      <c r="N18">
        <v>255</v>
      </c>
      <c r="O18">
        <v>19.955577668464311</v>
      </c>
      <c r="P18">
        <v>44.026275065376609</v>
      </c>
      <c r="Q18">
        <v>1.110183629967407</v>
      </c>
      <c r="R18">
        <v>1.6773024948525019</v>
      </c>
      <c r="S18">
        <v>2.3553962261088999</v>
      </c>
      <c r="T18">
        <v>71.018218446128245</v>
      </c>
      <c r="U18">
        <v>1.17373387854446E-2</v>
      </c>
      <c r="V18">
        <v>2.8</v>
      </c>
      <c r="W18">
        <v>0.74151155927225076</v>
      </c>
      <c r="X18">
        <v>255</v>
      </c>
      <c r="Z18">
        <f t="shared" si="2"/>
        <v>1.7041468134215004E-3</v>
      </c>
      <c r="AA18">
        <f t="shared" si="2"/>
        <v>-4.0847771325469989E-3</v>
      </c>
      <c r="AB18">
        <f t="shared" si="2"/>
        <v>968.79784227901348</v>
      </c>
      <c r="AC18">
        <f t="shared" si="2"/>
        <v>0.3999974193532051</v>
      </c>
      <c r="AD18">
        <f t="shared" si="2"/>
        <v>1.4050731164661809</v>
      </c>
      <c r="AE18">
        <f t="shared" si="2"/>
        <v>-13.9354053550237</v>
      </c>
      <c r="AF18">
        <f t="shared" si="2"/>
        <v>2.969753706191014E-3</v>
      </c>
      <c r="AG18">
        <f t="shared" si="2"/>
        <v>0</v>
      </c>
      <c r="AH18">
        <f t="shared" si="2"/>
        <v>-2.9091976300607003E-3</v>
      </c>
      <c r="AI18">
        <f t="shared" si="2"/>
        <v>0</v>
      </c>
      <c r="AJ18">
        <f t="shared" si="2"/>
        <v>4.4106508902075348E-5</v>
      </c>
      <c r="AK18">
        <f t="shared" si="2"/>
        <v>-3.6392090109416131E-5</v>
      </c>
      <c r="AL18">
        <f t="shared" si="2"/>
        <v>5.5375408355724E-3</v>
      </c>
      <c r="AM18">
        <f t="shared" si="2"/>
        <v>9.7983586031080705E-5</v>
      </c>
      <c r="AN18">
        <f t="shared" si="2"/>
        <v>3.5136932414969735E-5</v>
      </c>
      <c r="AO18">
        <f t="shared" si="2"/>
        <v>16.044368784683066</v>
      </c>
      <c r="AP18">
        <f t="shared" si="4"/>
        <v>1.4299108040032385E-7</v>
      </c>
      <c r="AQ18">
        <f t="shared" si="4"/>
        <v>0</v>
      </c>
      <c r="AR18">
        <f t="shared" si="3"/>
        <v>-2.3804513915592906E-11</v>
      </c>
      <c r="AS18">
        <f t="shared" si="1"/>
        <v>0</v>
      </c>
    </row>
    <row r="19" spans="1:45" x14ac:dyDescent="0.3">
      <c r="A19" t="s">
        <v>34</v>
      </c>
      <c r="B19" t="b">
        <v>1</v>
      </c>
      <c r="C19" t="b">
        <v>1</v>
      </c>
      <c r="D19" t="s">
        <v>33</v>
      </c>
      <c r="E19">
        <v>9.0498571898741303E-2</v>
      </c>
      <c r="F19">
        <v>1.80223267530688E-2</v>
      </c>
      <c r="G19">
        <v>999.99996288172804</v>
      </c>
      <c r="H19">
        <v>0.50000000000000011</v>
      </c>
      <c r="I19">
        <v>1.5169134527235</v>
      </c>
      <c r="J19">
        <v>0.01</v>
      </c>
      <c r="K19">
        <v>1</v>
      </c>
      <c r="L19">
        <v>2.5</v>
      </c>
      <c r="M19">
        <v>3.7534234972003401E-2</v>
      </c>
      <c r="N19">
        <v>272</v>
      </c>
      <c r="O19">
        <v>19.275090000668602</v>
      </c>
      <c r="P19">
        <v>43.442377379638188</v>
      </c>
      <c r="Q19">
        <v>1.91984214828557E-2</v>
      </c>
      <c r="R19">
        <v>3.8730528026307809</v>
      </c>
      <c r="S19">
        <v>1.272534490842345</v>
      </c>
      <c r="T19">
        <v>68.362715608185667</v>
      </c>
      <c r="U19">
        <v>3.1918624869349001E-3</v>
      </c>
      <c r="V19">
        <v>2.5</v>
      </c>
      <c r="W19">
        <v>0.77932066207199346</v>
      </c>
      <c r="X19">
        <v>272</v>
      </c>
      <c r="Z19">
        <f t="shared" ref="Z19:AO27" si="5">(E20-E47)</f>
        <v>-1.1000652017922885E-6</v>
      </c>
      <c r="AA19">
        <f t="shared" si="5"/>
        <v>1.5038843454023842E-6</v>
      </c>
      <c r="AB19">
        <f t="shared" si="5"/>
        <v>-41.182168569246087</v>
      </c>
      <c r="AC19">
        <f t="shared" si="5"/>
        <v>-4.6856427111008347E-4</v>
      </c>
      <c r="AD19">
        <f t="shared" si="5"/>
        <v>-3.0026175910569108E-4</v>
      </c>
      <c r="AE19">
        <f t="shared" si="5"/>
        <v>-4.365030498294276</v>
      </c>
      <c r="AF19">
        <f t="shared" si="5"/>
        <v>6.3774836138508206E-5</v>
      </c>
      <c r="AG19">
        <f t="shared" si="5"/>
        <v>0</v>
      </c>
      <c r="AH19">
        <f t="shared" si="5"/>
        <v>1.0739913791635303E-8</v>
      </c>
      <c r="AI19">
        <f t="shared" si="5"/>
        <v>0</v>
      </c>
      <c r="AJ19">
        <f t="shared" si="5"/>
        <v>-6.5886474968342768</v>
      </c>
      <c r="AK19">
        <f t="shared" si="5"/>
        <v>-15.690671650114409</v>
      </c>
      <c r="AL19">
        <f t="shared" si="5"/>
        <v>-7.5416101724101052</v>
      </c>
      <c r="AM19">
        <f t="shared" si="5"/>
        <v>-3.0134749307267898</v>
      </c>
      <c r="AN19">
        <f t="shared" si="5"/>
        <v>-6.920038617243307E-2</v>
      </c>
      <c r="AO19">
        <f t="shared" si="5"/>
        <v>0.80914344364511948</v>
      </c>
      <c r="AP19">
        <f t="shared" si="4"/>
        <v>-3.409485292583956E-2</v>
      </c>
      <c r="AQ19">
        <f t="shared" si="4"/>
        <v>0</v>
      </c>
      <c r="AR19">
        <f t="shared" si="3"/>
        <v>-0.10673890803866051</v>
      </c>
      <c r="AS19">
        <f t="shared" si="1"/>
        <v>0</v>
      </c>
    </row>
    <row r="20" spans="1:45" x14ac:dyDescent="0.3">
      <c r="A20" t="s">
        <v>35</v>
      </c>
      <c r="B20" t="b">
        <v>1</v>
      </c>
      <c r="C20" t="b">
        <v>1</v>
      </c>
      <c r="D20" t="s">
        <v>33</v>
      </c>
      <c r="E20">
        <v>7.2710755932329105E-2</v>
      </c>
      <c r="F20">
        <v>3.21669052052184E-2</v>
      </c>
      <c r="G20">
        <v>18.996763653813812</v>
      </c>
      <c r="H20">
        <v>0.93902951059414796</v>
      </c>
      <c r="I20">
        <v>2.5033507160508042</v>
      </c>
      <c r="J20">
        <v>7.4696140043776236</v>
      </c>
      <c r="K20">
        <v>0.18202789542440251</v>
      </c>
      <c r="L20">
        <v>20</v>
      </c>
      <c r="M20">
        <v>0.12594232581881479</v>
      </c>
      <c r="N20">
        <v>264</v>
      </c>
      <c r="O20">
        <v>17.019653007018722</v>
      </c>
      <c r="P20">
        <v>12.06655902844299</v>
      </c>
      <c r="Q20">
        <v>0.62890745808931503</v>
      </c>
      <c r="R20">
        <v>0.50000000000000011</v>
      </c>
      <c r="S20">
        <v>5.930799613827447</v>
      </c>
      <c r="T20">
        <v>24.03903413096122</v>
      </c>
      <c r="U20">
        <v>1.033744651139432E-6</v>
      </c>
      <c r="V20">
        <v>20</v>
      </c>
      <c r="W20">
        <v>0.15493844484409749</v>
      </c>
      <c r="X20">
        <v>264</v>
      </c>
      <c r="Z20">
        <f t="shared" si="5"/>
        <v>1.344313445808959E-4</v>
      </c>
      <c r="AA20">
        <f t="shared" si="5"/>
        <v>-1.5874434807897995E-3</v>
      </c>
      <c r="AB20">
        <f t="shared" si="5"/>
        <v>901.48935985367905</v>
      </c>
      <c r="AC20">
        <f t="shared" si="5"/>
        <v>0.26945424283874109</v>
      </c>
      <c r="AD20">
        <f t="shared" si="5"/>
        <v>0.58640903231086761</v>
      </c>
      <c r="AE20">
        <f t="shared" si="5"/>
        <v>-9.0348144475123002E-2</v>
      </c>
      <c r="AF20">
        <f t="shared" si="5"/>
        <v>3.7969627442180354E-14</v>
      </c>
      <c r="AG20">
        <f t="shared" si="5"/>
        <v>0</v>
      </c>
      <c r="AH20">
        <f t="shared" si="5"/>
        <v>-1.0225677958661944E-3</v>
      </c>
      <c r="AI20">
        <f t="shared" si="5"/>
        <v>0</v>
      </c>
      <c r="AJ20">
        <f t="shared" si="5"/>
        <v>3.4948832017889231E-4</v>
      </c>
      <c r="AK20">
        <f t="shared" si="5"/>
        <v>1.7369927718391409E-10</v>
      </c>
      <c r="AL20">
        <f t="shared" si="5"/>
        <v>-1.0864680214315999E-3</v>
      </c>
      <c r="AM20">
        <f t="shared" si="5"/>
        <v>3.1347072049570102E-4</v>
      </c>
      <c r="AN20">
        <f t="shared" si="5"/>
        <v>-1.1293383549126901E-4</v>
      </c>
      <c r="AO20">
        <f t="shared" si="5"/>
        <v>-60.329039163647394</v>
      </c>
      <c r="AP20">
        <f t="shared" si="4"/>
        <v>-1.5975079947000079E-6</v>
      </c>
      <c r="AQ20">
        <f t="shared" si="4"/>
        <v>0</v>
      </c>
      <c r="AR20">
        <f t="shared" si="3"/>
        <v>-9.9194097380461699E-11</v>
      </c>
      <c r="AS20">
        <f t="shared" si="1"/>
        <v>0</v>
      </c>
    </row>
    <row r="21" spans="1:45" x14ac:dyDescent="0.3">
      <c r="A21" t="s">
        <v>36</v>
      </c>
      <c r="B21" t="b">
        <v>1</v>
      </c>
      <c r="C21" t="b">
        <v>1</v>
      </c>
      <c r="D21" t="s">
        <v>33</v>
      </c>
      <c r="E21">
        <v>6.9734962298992897E-2</v>
      </c>
      <c r="F21">
        <v>1.2670417709243801E-2</v>
      </c>
      <c r="G21">
        <v>999.97908140973584</v>
      </c>
      <c r="H21">
        <v>0.50000000000000011</v>
      </c>
      <c r="I21">
        <v>0.68640903231089057</v>
      </c>
      <c r="J21">
        <v>0.01</v>
      </c>
      <c r="K21">
        <v>1</v>
      </c>
      <c r="L21">
        <v>0.39</v>
      </c>
      <c r="M21">
        <v>3.4711862498599803E-2</v>
      </c>
      <c r="N21">
        <v>272</v>
      </c>
      <c r="O21">
        <v>19.071950553814879</v>
      </c>
      <c r="P21">
        <v>100</v>
      </c>
      <c r="Q21">
        <v>6.3423161972479998E-4</v>
      </c>
      <c r="R21">
        <v>2.1713086678704658</v>
      </c>
      <c r="S21">
        <v>0.80065967366560775</v>
      </c>
      <c r="T21">
        <v>24.389533420531009</v>
      </c>
      <c r="U21">
        <v>5.0433781525712996E-3</v>
      </c>
      <c r="V21">
        <v>0.39</v>
      </c>
      <c r="W21">
        <v>0.62068099299427093</v>
      </c>
      <c r="X21">
        <v>272</v>
      </c>
      <c r="Z21">
        <f t="shared" si="5"/>
        <v>2.2995445390086022E-3</v>
      </c>
      <c r="AA21">
        <f t="shared" si="5"/>
        <v>-1.8867485613653021E-3</v>
      </c>
      <c r="AB21">
        <f t="shared" si="5"/>
        <v>8.7978349421549999E-4</v>
      </c>
      <c r="AC21">
        <f t="shared" si="5"/>
        <v>-1.3333349562536139</v>
      </c>
      <c r="AD21">
        <f t="shared" si="5"/>
        <v>-0.57253168152519951</v>
      </c>
      <c r="AE21">
        <f t="shared" si="5"/>
        <v>-48.644713865745558</v>
      </c>
      <c r="AF21">
        <f t="shared" si="5"/>
        <v>2.4796520278885601E-2</v>
      </c>
      <c r="AG21">
        <f t="shared" si="5"/>
        <v>0</v>
      </c>
      <c r="AH21">
        <f t="shared" si="5"/>
        <v>-4.155976457999E-2</v>
      </c>
      <c r="AI21">
        <f t="shared" si="5"/>
        <v>0</v>
      </c>
      <c r="AJ21">
        <f t="shared" si="5"/>
        <v>-0.73418597582298872</v>
      </c>
      <c r="AK21">
        <f t="shared" si="5"/>
        <v>0.67767193539108028</v>
      </c>
      <c r="AL21">
        <f t="shared" si="5"/>
        <v>0.16669776305161799</v>
      </c>
      <c r="AM21">
        <f t="shared" si="5"/>
        <v>0.39002645272047198</v>
      </c>
      <c r="AN21">
        <f t="shared" si="5"/>
        <v>1.1054213762902201</v>
      </c>
      <c r="AO21">
        <f t="shared" si="5"/>
        <v>-7.0605592399966</v>
      </c>
      <c r="AP21">
        <f t="shared" si="4"/>
        <v>7.031038668250101E-3</v>
      </c>
      <c r="AQ21">
        <f t="shared" si="4"/>
        <v>0</v>
      </c>
      <c r="AR21">
        <f t="shared" si="3"/>
        <v>4.3534140956431044E-3</v>
      </c>
      <c r="AS21">
        <f t="shared" si="1"/>
        <v>0</v>
      </c>
    </row>
    <row r="22" spans="1:45" x14ac:dyDescent="0.3">
      <c r="A22" t="s">
        <v>37</v>
      </c>
      <c r="B22" t="b">
        <v>0</v>
      </c>
      <c r="C22" t="b">
        <v>1</v>
      </c>
      <c r="D22" t="s">
        <v>33</v>
      </c>
      <c r="E22">
        <v>7.3302880235052104E-2</v>
      </c>
      <c r="F22">
        <v>2.0668513213086999E-2</v>
      </c>
      <c r="G22">
        <v>9.9499450513350005E-4</v>
      </c>
      <c r="H22">
        <v>4.4518366741749258</v>
      </c>
      <c r="I22">
        <v>5.3441236277491901</v>
      </c>
      <c r="J22">
        <v>47.232291031678443</v>
      </c>
      <c r="K22">
        <v>5.4034856522532801E-2</v>
      </c>
      <c r="L22">
        <v>6.3E-2</v>
      </c>
      <c r="M22">
        <v>8.1699848880006004E-2</v>
      </c>
      <c r="N22">
        <v>263</v>
      </c>
      <c r="O22">
        <v>12.202592299943211</v>
      </c>
      <c r="P22">
        <v>14.471567824951981</v>
      </c>
      <c r="Q22">
        <v>1.2565809053741279</v>
      </c>
      <c r="R22">
        <v>2.4205050668445018</v>
      </c>
      <c r="S22">
        <v>5.99683442669083</v>
      </c>
      <c r="T22">
        <v>36.5660769067822</v>
      </c>
      <c r="U22">
        <v>3.6722357062478402E-2</v>
      </c>
      <c r="V22">
        <v>6.3E-2</v>
      </c>
      <c r="W22">
        <v>8.8939872095415901E-2</v>
      </c>
      <c r="X22">
        <v>263</v>
      </c>
      <c r="Z22">
        <f t="shared" si="5"/>
        <v>-1.7887782019498921E-9</v>
      </c>
      <c r="AA22">
        <f t="shared" si="5"/>
        <v>-4.1166730345307996E-3</v>
      </c>
      <c r="AB22">
        <f t="shared" si="5"/>
        <v>-0.22869661575342937</v>
      </c>
      <c r="AC22">
        <f t="shared" si="5"/>
        <v>0.67527075102729661</v>
      </c>
      <c r="AD22">
        <f t="shared" si="5"/>
        <v>0.84973400748226258</v>
      </c>
      <c r="AE22">
        <f t="shared" si="5"/>
        <v>-0.602714116176017</v>
      </c>
      <c r="AF22">
        <f t="shared" si="5"/>
        <v>0.2061801343234011</v>
      </c>
      <c r="AG22">
        <f t="shared" si="5"/>
        <v>0</v>
      </c>
      <c r="AH22">
        <f t="shared" si="5"/>
        <v>1.7386758699444701E-11</v>
      </c>
      <c r="AI22">
        <f t="shared" si="5"/>
        <v>0</v>
      </c>
      <c r="AJ22">
        <f t="shared" si="5"/>
        <v>1.1933976744277093</v>
      </c>
      <c r="AK22">
        <f t="shared" si="5"/>
        <v>-21.602932332589432</v>
      </c>
      <c r="AL22">
        <f t="shared" si="5"/>
        <v>4.0008598245135891</v>
      </c>
      <c r="AM22">
        <f t="shared" si="5"/>
        <v>0.11755252295942142</v>
      </c>
      <c r="AN22">
        <f t="shared" si="5"/>
        <v>5.3692408297223437E-6</v>
      </c>
      <c r="AO22">
        <f t="shared" si="5"/>
        <v>6.9915016974801318</v>
      </c>
      <c r="AP22">
        <f t="shared" si="4"/>
        <v>-5.12995366550906E-2</v>
      </c>
      <c r="AQ22">
        <f t="shared" si="4"/>
        <v>0</v>
      </c>
      <c r="AR22">
        <f t="shared" si="3"/>
        <v>-6.8476519888241993E-3</v>
      </c>
      <c r="AS22">
        <f t="shared" si="1"/>
        <v>0</v>
      </c>
    </row>
    <row r="23" spans="1:45" x14ac:dyDescent="0.3">
      <c r="A23" t="s">
        <v>38</v>
      </c>
      <c r="B23" t="b">
        <v>0</v>
      </c>
      <c r="C23" t="b">
        <v>1</v>
      </c>
      <c r="D23" t="s">
        <v>33</v>
      </c>
      <c r="E23">
        <v>6.14400402867889E-2</v>
      </c>
      <c r="F23">
        <v>1.3062033977666999E-3</v>
      </c>
      <c r="G23">
        <v>9.1678557137990599E-2</v>
      </c>
      <c r="H23">
        <v>4.8622369355172568</v>
      </c>
      <c r="I23">
        <v>5.4190515570226028</v>
      </c>
      <c r="J23">
        <v>72.330312996040988</v>
      </c>
      <c r="K23">
        <v>0.92646676693365315</v>
      </c>
      <c r="L23">
        <v>1.5</v>
      </c>
      <c r="M23">
        <v>-8.8817841970012523E-16</v>
      </c>
      <c r="N23">
        <v>296</v>
      </c>
      <c r="O23">
        <v>17.008161208156309</v>
      </c>
      <c r="P23">
        <v>78.397067667408763</v>
      </c>
      <c r="Q23">
        <v>6.797302374968849</v>
      </c>
      <c r="R23">
        <v>0.50000000000000044</v>
      </c>
      <c r="S23">
        <v>5.9999999999560094</v>
      </c>
      <c r="T23">
        <v>49.810725911816832</v>
      </c>
      <c r="U23">
        <v>0.1490505487767054</v>
      </c>
      <c r="V23">
        <v>1.5</v>
      </c>
      <c r="W23">
        <v>0.54638949841925277</v>
      </c>
      <c r="X23">
        <v>296</v>
      </c>
      <c r="Z23">
        <f t="shared" si="5"/>
        <v>5.1581478573203832E-5</v>
      </c>
      <c r="AA23">
        <f t="shared" si="5"/>
        <v>3.5083486238780132E-4</v>
      </c>
      <c r="AB23">
        <f t="shared" si="5"/>
        <v>-4.6121527243725175E-5</v>
      </c>
      <c r="AC23">
        <f t="shared" si="5"/>
        <v>-1.2973384055698443</v>
      </c>
      <c r="AD23">
        <f t="shared" si="5"/>
        <v>-1.4827377951524905</v>
      </c>
      <c r="AE23">
        <f t="shared" si="5"/>
        <v>-47.695855600663513</v>
      </c>
      <c r="AF23">
        <f t="shared" si="5"/>
        <v>-4.4370295520691008E-3</v>
      </c>
      <c r="AG23">
        <f t="shared" si="5"/>
        <v>0</v>
      </c>
      <c r="AH23">
        <f t="shared" si="5"/>
        <v>-4.9438052641231078E-3</v>
      </c>
      <c r="AI23">
        <f t="shared" si="5"/>
        <v>0</v>
      </c>
      <c r="AJ23">
        <f t="shared" si="5"/>
        <v>4.29808275536125</v>
      </c>
      <c r="AK23">
        <f t="shared" si="5"/>
        <v>-7.2196884920396514</v>
      </c>
      <c r="AL23">
        <f t="shared" si="5"/>
        <v>4.172857648315933</v>
      </c>
      <c r="AM23">
        <f t="shared" si="5"/>
        <v>0.17096236178299812</v>
      </c>
      <c r="AN23">
        <f t="shared" si="5"/>
        <v>0.75828273093246779</v>
      </c>
      <c r="AO23">
        <f t="shared" si="5"/>
        <v>58.021250969043756</v>
      </c>
      <c r="AP23">
        <f t="shared" si="4"/>
        <v>6.6905760273473988E-3</v>
      </c>
      <c r="AQ23">
        <f t="shared" si="4"/>
        <v>0</v>
      </c>
      <c r="AR23">
        <f t="shared" si="3"/>
        <v>-1.2546908759108799E-2</v>
      </c>
      <c r="AS23">
        <f t="shared" si="1"/>
        <v>0</v>
      </c>
    </row>
    <row r="24" spans="1:45" x14ac:dyDescent="0.3">
      <c r="A24" t="s">
        <v>39</v>
      </c>
      <c r="B24" t="b">
        <v>0</v>
      </c>
      <c r="C24" t="b">
        <v>0</v>
      </c>
      <c r="D24" t="s">
        <v>40</v>
      </c>
      <c r="E24">
        <v>6.7640333324427704E-2</v>
      </c>
      <c r="F24">
        <v>2.88457454530659E-2</v>
      </c>
      <c r="G24">
        <v>8.9367095183374827E-5</v>
      </c>
      <c r="H24">
        <v>4.6599364502426761</v>
      </c>
      <c r="I24">
        <v>0.63788504083624953</v>
      </c>
      <c r="J24">
        <v>48.224857221008982</v>
      </c>
      <c r="K24">
        <v>4.4077298534822996E-3</v>
      </c>
      <c r="L24">
        <v>3.4000000000000002E-2</v>
      </c>
      <c r="M24">
        <v>0.21415643789250891</v>
      </c>
      <c r="N24">
        <v>272</v>
      </c>
      <c r="O24">
        <v>22.455819980437148</v>
      </c>
      <c r="P24">
        <v>49.089109274013651</v>
      </c>
      <c r="Q24">
        <v>4.4800147145703262</v>
      </c>
      <c r="R24">
        <v>0.50000000000000011</v>
      </c>
      <c r="S24">
        <v>2.3500748972030379</v>
      </c>
      <c r="T24">
        <v>79.980936678657457</v>
      </c>
      <c r="U24">
        <v>2.5483127874394398E-2</v>
      </c>
      <c r="V24">
        <v>3.4000000000000002E-2</v>
      </c>
      <c r="W24">
        <v>0.92634676014671624</v>
      </c>
      <c r="X24">
        <v>272</v>
      </c>
      <c r="Z24">
        <f t="shared" si="5"/>
        <v>-1.0522001709992179E-5</v>
      </c>
      <c r="AA24">
        <f t="shared" si="5"/>
        <v>1.0480046067700213E-5</v>
      </c>
      <c r="AB24">
        <f t="shared" si="5"/>
        <v>127.63595445350721</v>
      </c>
      <c r="AC24">
        <f t="shared" si="5"/>
        <v>-1.7851420883336022E-2</v>
      </c>
      <c r="AD24">
        <f t="shared" si="5"/>
        <v>-1.8988289829735105E-2</v>
      </c>
      <c r="AE24">
        <f t="shared" si="5"/>
        <v>2.5563436541726139</v>
      </c>
      <c r="AF24">
        <f t="shared" si="5"/>
        <v>-2.2252454191032389E-6</v>
      </c>
      <c r="AG24">
        <f t="shared" si="5"/>
        <v>0</v>
      </c>
      <c r="AH24">
        <f t="shared" si="5"/>
        <v>-8.6926248601959522E-8</v>
      </c>
      <c r="AI24">
        <f t="shared" si="5"/>
        <v>0</v>
      </c>
      <c r="AJ24">
        <f t="shared" si="5"/>
        <v>1.6810468885188303</v>
      </c>
      <c r="AK24">
        <f t="shared" si="5"/>
        <v>-14.701431196156491</v>
      </c>
      <c r="AL24">
        <f t="shared" si="5"/>
        <v>-1.087302371439216</v>
      </c>
      <c r="AM24">
        <f t="shared" si="5"/>
        <v>8.4686350409467093E-2</v>
      </c>
      <c r="AN24">
        <f t="shared" si="5"/>
        <v>0.33184757002528809</v>
      </c>
      <c r="AO24">
        <f t="shared" si="5"/>
        <v>-31.854904798575468</v>
      </c>
      <c r="AP24">
        <f t="shared" si="4"/>
        <v>-5.1726071448593008E-3</v>
      </c>
      <c r="AQ24">
        <f t="shared" si="4"/>
        <v>0</v>
      </c>
      <c r="AR24">
        <f t="shared" si="3"/>
        <v>-3.7980590786645951E-3</v>
      </c>
      <c r="AS24">
        <f t="shared" si="1"/>
        <v>0</v>
      </c>
    </row>
    <row r="25" spans="1:45" x14ac:dyDescent="0.3">
      <c r="A25" t="s">
        <v>41</v>
      </c>
      <c r="B25" t="b">
        <v>0</v>
      </c>
      <c r="C25" t="b">
        <v>0</v>
      </c>
      <c r="D25" t="s">
        <v>40</v>
      </c>
      <c r="E25">
        <v>6.3938516465723003E-2</v>
      </c>
      <c r="F25">
        <v>1.33629018249321E-2</v>
      </c>
      <c r="G25">
        <v>141.14603827509771</v>
      </c>
      <c r="H25">
        <v>3.211263984528884</v>
      </c>
      <c r="I25">
        <v>3.265894564970905</v>
      </c>
      <c r="J25">
        <v>4.973063061430504</v>
      </c>
      <c r="K25">
        <v>5.63730572035313E-2</v>
      </c>
      <c r="L25">
        <v>0.65</v>
      </c>
      <c r="M25">
        <v>5.5548938329602997E-2</v>
      </c>
      <c r="N25">
        <v>296</v>
      </c>
      <c r="O25">
        <v>15.49744181619363</v>
      </c>
      <c r="P25">
        <v>85.298568462982914</v>
      </c>
      <c r="Q25">
        <v>0.1831032077364641</v>
      </c>
      <c r="R25">
        <v>0.50000000000000011</v>
      </c>
      <c r="S25">
        <v>2.9444904141021779</v>
      </c>
      <c r="T25">
        <v>29.735687319656229</v>
      </c>
      <c r="U25">
        <v>7.7980023270645404E-2</v>
      </c>
      <c r="V25">
        <v>0.65</v>
      </c>
      <c r="W25">
        <v>0.70701453696281535</v>
      </c>
      <c r="X25">
        <v>296</v>
      </c>
      <c r="Z25">
        <f t="shared" si="5"/>
        <v>-2.6934339085080972E-3</v>
      </c>
      <c r="AA25">
        <f t="shared" si="5"/>
        <v>2.433104909766539E-2</v>
      </c>
      <c r="AB25">
        <f t="shared" si="5"/>
        <v>-64.325022112248604</v>
      </c>
      <c r="AC25">
        <f t="shared" si="5"/>
        <v>3.1951951235809757</v>
      </c>
      <c r="AD25">
        <f t="shared" si="5"/>
        <v>1.7697113798180553</v>
      </c>
      <c r="AE25">
        <f t="shared" si="5"/>
        <v>91.136982344682906</v>
      </c>
      <c r="AF25">
        <f t="shared" si="5"/>
        <v>-3.3076544567110205E-2</v>
      </c>
      <c r="AG25">
        <f t="shared" si="5"/>
        <v>0</v>
      </c>
      <c r="AH25">
        <f t="shared" si="5"/>
        <v>3.4470294352165684E-2</v>
      </c>
      <c r="AI25">
        <f t="shared" si="5"/>
        <v>0</v>
      </c>
      <c r="AJ25">
        <f t="shared" si="5"/>
        <v>-1.0869396516319796E-3</v>
      </c>
      <c r="AK25">
        <f t="shared" si="5"/>
        <v>3.9435745985088033E-3</v>
      </c>
      <c r="AL25">
        <f t="shared" si="5"/>
        <v>13.943030587407231</v>
      </c>
      <c r="AM25">
        <f t="shared" si="5"/>
        <v>-2.3042562797126465E-4</v>
      </c>
      <c r="AN25">
        <f t="shared" si="5"/>
        <v>-2.5154714441333326E-3</v>
      </c>
      <c r="AO25">
        <f t="shared" si="5"/>
        <v>15.780630111195848</v>
      </c>
      <c r="AP25">
        <f t="shared" si="4"/>
        <v>-2.0772064252910782E-5</v>
      </c>
      <c r="AQ25">
        <f t="shared" si="4"/>
        <v>0</v>
      </c>
      <c r="AR25">
        <f t="shared" si="3"/>
        <v>-4.6487282356899584E-9</v>
      </c>
      <c r="AS25">
        <f t="shared" si="1"/>
        <v>0</v>
      </c>
    </row>
    <row r="26" spans="1:45" x14ac:dyDescent="0.3">
      <c r="A26" t="s">
        <v>42</v>
      </c>
      <c r="B26" t="b">
        <v>0</v>
      </c>
      <c r="C26" t="b">
        <v>0</v>
      </c>
      <c r="D26" t="s">
        <v>40</v>
      </c>
      <c r="E26">
        <v>6.2319241509499301E-2</v>
      </c>
      <c r="F26">
        <v>2.43310490978168E-2</v>
      </c>
      <c r="G26">
        <v>1.000000000002316E-6</v>
      </c>
      <c r="H26">
        <v>4.4547753843443259</v>
      </c>
      <c r="I26">
        <v>4.8270546965630752</v>
      </c>
      <c r="J26">
        <v>96</v>
      </c>
      <c r="K26">
        <v>2.3632120719399501E-2</v>
      </c>
      <c r="L26">
        <v>0.1</v>
      </c>
      <c r="M26">
        <v>3.4470294351980499E-2</v>
      </c>
      <c r="N26">
        <v>272</v>
      </c>
      <c r="O26">
        <v>22.162279333972769</v>
      </c>
      <c r="P26">
        <v>22.75035488926121</v>
      </c>
      <c r="Q26">
        <v>16.209656400271911</v>
      </c>
      <c r="R26">
        <v>0.5178227479748847</v>
      </c>
      <c r="S26">
        <v>4.8955160585304069</v>
      </c>
      <c r="T26">
        <v>47.664585888073049</v>
      </c>
      <c r="U26">
        <v>0.15545712393724009</v>
      </c>
      <c r="V26">
        <v>0.1</v>
      </c>
      <c r="W26">
        <v>0.27784403704860777</v>
      </c>
      <c r="X26">
        <v>272</v>
      </c>
      <c r="Z26">
        <f t="shared" si="5"/>
        <v>-3.5008694060889578E-4</v>
      </c>
      <c r="AA26">
        <f t="shared" si="5"/>
        <v>2.7622656239829901E-4</v>
      </c>
      <c r="AB26">
        <f t="shared" si="5"/>
        <v>-5.4135733134257E-3</v>
      </c>
      <c r="AC26">
        <f t="shared" si="5"/>
        <v>-1.4911303673883589</v>
      </c>
      <c r="AD26">
        <f t="shared" si="5"/>
        <v>-1.6255836408755577</v>
      </c>
      <c r="AE26">
        <f t="shared" si="5"/>
        <v>-60.311302190286426</v>
      </c>
      <c r="AF26">
        <f t="shared" si="5"/>
        <v>-5.5509261929407999E-3</v>
      </c>
      <c r="AG26">
        <f t="shared" si="5"/>
        <v>0</v>
      </c>
      <c r="AH26">
        <f t="shared" si="5"/>
        <v>-3.24722422559591E-3</v>
      </c>
      <c r="AI26">
        <f t="shared" si="5"/>
        <v>0</v>
      </c>
      <c r="AJ26">
        <f t="shared" si="5"/>
        <v>-6.2731925156001012E-4</v>
      </c>
      <c r="AK26">
        <f t="shared" si="5"/>
        <v>5.0319757718852998E-3</v>
      </c>
      <c r="AL26">
        <f t="shared" si="5"/>
        <v>-5.5372873551648105E-2</v>
      </c>
      <c r="AM26">
        <f t="shared" si="5"/>
        <v>-4.0625456774967539E-5</v>
      </c>
      <c r="AN26">
        <f t="shared" si="5"/>
        <v>7.1929570482964778E-5</v>
      </c>
      <c r="AO26">
        <f t="shared" si="5"/>
        <v>-18.121916225925091</v>
      </c>
      <c r="AP26">
        <f t="shared" si="4"/>
        <v>6.9247502595994048E-6</v>
      </c>
      <c r="AQ26">
        <f t="shared" si="4"/>
        <v>0</v>
      </c>
      <c r="AR26">
        <f t="shared" si="3"/>
        <v>-4.1539716111316238E-10</v>
      </c>
      <c r="AS26">
        <f t="shared" si="1"/>
        <v>0</v>
      </c>
    </row>
    <row r="27" spans="1:45" x14ac:dyDescent="0.3">
      <c r="A27" t="s">
        <v>43</v>
      </c>
      <c r="B27" t="b">
        <v>0</v>
      </c>
      <c r="C27" t="b">
        <v>0</v>
      </c>
      <c r="D27" t="s">
        <v>40</v>
      </c>
      <c r="E27">
        <v>5.3865707164069403E-2</v>
      </c>
      <c r="F27">
        <v>2.57071169697396E-2</v>
      </c>
      <c r="G27">
        <v>1.4825168608485E-3</v>
      </c>
      <c r="H27">
        <v>4.2672770811840914</v>
      </c>
      <c r="I27">
        <v>0.84824432045679254</v>
      </c>
      <c r="J27">
        <v>29.90398268332207</v>
      </c>
      <c r="K27">
        <v>1.16069492362002E-2</v>
      </c>
      <c r="L27">
        <v>0.15</v>
      </c>
      <c r="M27">
        <v>0.1064751014705391</v>
      </c>
      <c r="N27">
        <v>272</v>
      </c>
      <c r="O27">
        <v>17.522217380683539</v>
      </c>
      <c r="P27">
        <v>67.520357441238986</v>
      </c>
      <c r="Q27">
        <v>5.1317977848909901E-2</v>
      </c>
      <c r="R27">
        <v>0.51331570554837402</v>
      </c>
      <c r="S27">
        <v>1.7694107940776029</v>
      </c>
      <c r="T27">
        <v>35.357805165917007</v>
      </c>
      <c r="U27">
        <v>1.0516857206527499E-2</v>
      </c>
      <c r="V27">
        <v>0.15</v>
      </c>
      <c r="W27">
        <v>0.74624685413085678</v>
      </c>
      <c r="X27">
        <v>272</v>
      </c>
      <c r="Z27">
        <f t="shared" si="5"/>
        <v>0</v>
      </c>
      <c r="AA27">
        <f t="shared" si="5"/>
        <v>0</v>
      </c>
      <c r="AB27">
        <f t="shared" si="5"/>
        <v>0</v>
      </c>
      <c r="AC27">
        <f t="shared" si="5"/>
        <v>0</v>
      </c>
      <c r="AD27">
        <f t="shared" si="5"/>
        <v>0</v>
      </c>
      <c r="AE27">
        <f t="shared" si="5"/>
        <v>0</v>
      </c>
      <c r="AF27">
        <f t="shared" si="5"/>
        <v>0</v>
      </c>
      <c r="AG27">
        <f t="shared" si="5"/>
        <v>0</v>
      </c>
      <c r="AH27">
        <f t="shared" si="5"/>
        <v>0</v>
      </c>
      <c r="AI27">
        <f t="shared" si="5"/>
        <v>0</v>
      </c>
      <c r="AJ27">
        <f t="shared" si="5"/>
        <v>0</v>
      </c>
      <c r="AK27">
        <f t="shared" si="5"/>
        <v>0</v>
      </c>
      <c r="AL27">
        <f t="shared" si="5"/>
        <v>0</v>
      </c>
      <c r="AM27">
        <f t="shared" si="5"/>
        <v>0</v>
      </c>
      <c r="AN27">
        <f t="shared" si="5"/>
        <v>0</v>
      </c>
      <c r="AO27">
        <f t="shared" si="5"/>
        <v>0</v>
      </c>
      <c r="AP27">
        <f t="shared" si="4"/>
        <v>0</v>
      </c>
      <c r="AQ27">
        <f t="shared" si="4"/>
        <v>0</v>
      </c>
      <c r="AR27">
        <f t="shared" si="3"/>
        <v>0</v>
      </c>
      <c r="AS27">
        <f t="shared" si="1"/>
        <v>0</v>
      </c>
    </row>
    <row r="29" spans="1:45" x14ac:dyDescent="0.3"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  <c r="N29" t="s">
        <v>12</v>
      </c>
      <c r="O29" t="s">
        <v>3</v>
      </c>
      <c r="P29" t="s">
        <v>4</v>
      </c>
      <c r="Q29" t="s">
        <v>5</v>
      </c>
      <c r="R29" t="s">
        <v>6</v>
      </c>
      <c r="S29" t="s">
        <v>7</v>
      </c>
      <c r="T29" t="s">
        <v>8</v>
      </c>
      <c r="U29" t="s">
        <v>9</v>
      </c>
      <c r="V29" t="s">
        <v>10</v>
      </c>
      <c r="W29" t="s">
        <v>11</v>
      </c>
      <c r="X29" t="s">
        <v>12</v>
      </c>
    </row>
    <row r="30" spans="1:45" x14ac:dyDescent="0.3">
      <c r="E30">
        <v>8.2926199531088401E-2</v>
      </c>
      <c r="F30">
        <v>5.3588199079246397E-2</v>
      </c>
      <c r="G30">
        <v>7.6816996131535298</v>
      </c>
      <c r="H30">
        <v>0.33022726149051501</v>
      </c>
      <c r="I30">
        <v>0.100000000000022</v>
      </c>
      <c r="J30">
        <v>16.0156132615157</v>
      </c>
      <c r="K30">
        <v>0.24919881438506</v>
      </c>
      <c r="L30">
        <v>0.28999999999999998</v>
      </c>
      <c r="M30">
        <v>0.29928957181171101</v>
      </c>
      <c r="N30">
        <v>296</v>
      </c>
      <c r="O30">
        <v>13.0443255324468</v>
      </c>
      <c r="P30">
        <v>16.108709609102601</v>
      </c>
      <c r="Q30">
        <v>24.472185567327699</v>
      </c>
      <c r="R30">
        <v>0.70798109619770699</v>
      </c>
      <c r="S30">
        <v>5.8274435165073797</v>
      </c>
      <c r="T30">
        <v>46.176610076231903</v>
      </c>
      <c r="U30">
        <v>1.0000339496141399E-6</v>
      </c>
      <c r="V30">
        <v>0.28999999999999998</v>
      </c>
      <c r="W30">
        <v>0.29648994346101298</v>
      </c>
      <c r="X30">
        <v>296</v>
      </c>
    </row>
    <row r="31" spans="1:45" x14ac:dyDescent="0.3">
      <c r="E31" s="5">
        <v>0.106289381081647</v>
      </c>
      <c r="F31" s="5">
        <v>9.8721920312112799E-2</v>
      </c>
      <c r="G31" s="5">
        <v>1.2471377638739999E-4</v>
      </c>
      <c r="H31" s="5">
        <v>5.9999999999999698</v>
      </c>
      <c r="I31" s="5">
        <v>4.78673420345695</v>
      </c>
      <c r="J31" s="5">
        <v>90.127372834260299</v>
      </c>
      <c r="K31" s="5">
        <v>3.1612419688034403E-2</v>
      </c>
      <c r="L31" s="5">
        <v>0.13</v>
      </c>
      <c r="M31" s="5">
        <v>0.43090606906107498</v>
      </c>
      <c r="N31" s="5">
        <v>259</v>
      </c>
      <c r="O31" s="5">
        <v>13.7043748957402</v>
      </c>
      <c r="P31" s="5">
        <v>99.999999998048494</v>
      </c>
      <c r="Q31" s="5">
        <v>0.306375444560265</v>
      </c>
      <c r="R31" s="5">
        <v>0.53596022014657596</v>
      </c>
      <c r="S31" s="5">
        <v>2.4290936952527402</v>
      </c>
      <c r="T31" s="5">
        <v>52.150602034016202</v>
      </c>
      <c r="U31" s="5">
        <v>5.2220403084829503E-2</v>
      </c>
      <c r="V31" s="5">
        <v>0.13</v>
      </c>
      <c r="W31" s="5">
        <v>0.81142724825069901</v>
      </c>
      <c r="X31" s="5">
        <v>259</v>
      </c>
    </row>
    <row r="32" spans="1:45" x14ac:dyDescent="0.3">
      <c r="E32" s="5">
        <v>7.6246306131165897E-2</v>
      </c>
      <c r="F32" s="5">
        <v>8.0421455352068294E-2</v>
      </c>
      <c r="G32" s="5">
        <v>1.6626570226396999E-3</v>
      </c>
      <c r="H32" s="5">
        <v>5.7573298896176901</v>
      </c>
      <c r="I32" s="5">
        <v>0.10000000000003401</v>
      </c>
      <c r="J32" s="5">
        <v>59.756940676525403</v>
      </c>
      <c r="K32" s="5">
        <v>9.9051692716671004E-3</v>
      </c>
      <c r="L32" s="5">
        <v>0.45</v>
      </c>
      <c r="M32" s="5">
        <v>0.52438432306715099</v>
      </c>
      <c r="N32" s="5">
        <v>296</v>
      </c>
      <c r="O32" s="5">
        <v>14.7838476121334</v>
      </c>
      <c r="P32" s="5">
        <v>99.999999833646299</v>
      </c>
      <c r="Q32" s="5">
        <v>0.24987950736740699</v>
      </c>
      <c r="R32" s="5">
        <v>0.401614355192776</v>
      </c>
      <c r="S32" s="5">
        <v>3.0211627827748702</v>
      </c>
      <c r="T32" s="5">
        <v>24.938994776044598</v>
      </c>
      <c r="U32" s="5">
        <v>0.10944319877124201</v>
      </c>
      <c r="V32" s="5">
        <v>0.45</v>
      </c>
      <c r="W32" s="5">
        <v>0.80158765253637398</v>
      </c>
      <c r="X32" s="5">
        <v>296</v>
      </c>
    </row>
    <row r="33" spans="5:24" x14ac:dyDescent="0.3">
      <c r="E33">
        <v>9.9365935754926901E-2</v>
      </c>
      <c r="F33">
        <v>3.5961256664795299E-2</v>
      </c>
      <c r="G33">
        <v>1.5227535956350799</v>
      </c>
      <c r="H33">
        <v>5.7005379925854696</v>
      </c>
      <c r="I33">
        <v>1.1331973314211601</v>
      </c>
      <c r="J33">
        <v>84.968911068317297</v>
      </c>
      <c r="K33">
        <v>5.9855234165385003E-3</v>
      </c>
      <c r="L33">
        <v>0.53</v>
      </c>
      <c r="M33">
        <v>0.20254465773718799</v>
      </c>
      <c r="N33">
        <v>296</v>
      </c>
      <c r="O33">
        <v>24.999999999994699</v>
      </c>
      <c r="P33">
        <v>28.0161408695364</v>
      </c>
      <c r="Q33">
        <v>7.6150092350295906E-2</v>
      </c>
      <c r="R33">
        <v>2.86885329230731</v>
      </c>
      <c r="S33">
        <v>5.9999999999996296</v>
      </c>
      <c r="T33">
        <v>51.040448789326497</v>
      </c>
      <c r="U33">
        <v>2.76210309558165E-2</v>
      </c>
      <c r="V33">
        <v>0.53</v>
      </c>
      <c r="W33">
        <v>0.42162066951471899</v>
      </c>
      <c r="X33">
        <v>296</v>
      </c>
    </row>
    <row r="34" spans="5:24" x14ac:dyDescent="0.3">
      <c r="E34">
        <v>8.8801077529729003E-2</v>
      </c>
      <c r="F34">
        <v>3.2449843344488001E-3</v>
      </c>
      <c r="G34">
        <v>1.3290725423656999</v>
      </c>
      <c r="H34">
        <v>0.41581507123754702</v>
      </c>
      <c r="I34">
        <v>1.0787801074029799</v>
      </c>
      <c r="J34">
        <v>0.306743169548927</v>
      </c>
      <c r="K34">
        <v>8.7454985992464804E-2</v>
      </c>
      <c r="L34">
        <v>1.2999999999999999E-2</v>
      </c>
      <c r="M34">
        <v>2.414759819439E-4</v>
      </c>
      <c r="N34">
        <v>238</v>
      </c>
      <c r="O34">
        <v>13.3225538069393</v>
      </c>
      <c r="P34">
        <v>9.5873412455625697</v>
      </c>
      <c r="Q34">
        <v>0.90059750837205998</v>
      </c>
      <c r="R34">
        <v>0.100000000000022</v>
      </c>
      <c r="S34">
        <v>5.9999999999999796</v>
      </c>
      <c r="T34">
        <v>31.388741507092799</v>
      </c>
      <c r="U34">
        <v>1.0033815078439399E-6</v>
      </c>
      <c r="V34">
        <v>1.2999999999999999E-2</v>
      </c>
      <c r="W34">
        <v>0.124025740645057</v>
      </c>
      <c r="X34">
        <v>238</v>
      </c>
    </row>
    <row r="35" spans="5:24" x14ac:dyDescent="0.3">
      <c r="E35" s="5">
        <v>6.9067963585749598E-2</v>
      </c>
      <c r="F35" s="5">
        <v>6.9110294958297694E-2</v>
      </c>
      <c r="G35" s="5">
        <v>100</v>
      </c>
      <c r="H35" s="5">
        <v>5.9861881938555204</v>
      </c>
      <c r="I35" s="5">
        <v>0.98759504720312996</v>
      </c>
      <c r="J35" s="5">
        <v>0.100000000000022</v>
      </c>
      <c r="K35" s="5">
        <v>1.04813985946796E-2</v>
      </c>
      <c r="L35" s="5">
        <v>6.3E-2</v>
      </c>
      <c r="M35" s="5">
        <v>0.678857194198907</v>
      </c>
      <c r="N35" s="5">
        <v>259</v>
      </c>
      <c r="O35" s="5">
        <v>14.987791220730101</v>
      </c>
      <c r="P35" s="5">
        <v>99.998797772130501</v>
      </c>
      <c r="Q35" s="5">
        <v>2.0356882467159498</v>
      </c>
      <c r="R35" s="5">
        <v>0.100000000002436</v>
      </c>
      <c r="S35" s="5">
        <v>4.8536965964933803</v>
      </c>
      <c r="T35" s="5">
        <v>55.487322862164298</v>
      </c>
      <c r="U35" s="5">
        <v>0.52080101860100703</v>
      </c>
      <c r="V35" s="5">
        <v>6.3E-2</v>
      </c>
      <c r="W35" s="5">
        <v>0.30009332680928302</v>
      </c>
      <c r="X35" s="5">
        <v>259</v>
      </c>
    </row>
    <row r="36" spans="5:24" x14ac:dyDescent="0.3">
      <c r="E36">
        <v>9.0965408151733707E-2</v>
      </c>
      <c r="F36">
        <v>1.84370621679854E-2</v>
      </c>
      <c r="G36">
        <v>17.1590317065499</v>
      </c>
      <c r="H36">
        <v>0.100000000000022</v>
      </c>
      <c r="I36">
        <v>0.100017495118234</v>
      </c>
      <c r="J36">
        <v>14.220007953021099</v>
      </c>
      <c r="K36">
        <v>0.99999999999997602</v>
      </c>
      <c r="L36">
        <v>3.2</v>
      </c>
      <c r="M36">
        <v>5.6692482257272102E-2</v>
      </c>
      <c r="N36">
        <v>272</v>
      </c>
      <c r="O36">
        <v>24.456958920119099</v>
      </c>
      <c r="P36">
        <v>25.7055564644463</v>
      </c>
      <c r="Q36">
        <v>0.42760747498907498</v>
      </c>
      <c r="R36">
        <v>0.90109716823264796</v>
      </c>
      <c r="S36">
        <v>1.7951915049433</v>
      </c>
      <c r="T36">
        <v>31.719969484571799</v>
      </c>
      <c r="U36">
        <v>2.83887954748238E-2</v>
      </c>
      <c r="V36">
        <v>3.2</v>
      </c>
      <c r="W36">
        <v>0.43437730358854199</v>
      </c>
      <c r="X36">
        <v>272</v>
      </c>
    </row>
    <row r="37" spans="5:24" x14ac:dyDescent="0.3">
      <c r="E37" s="5">
        <v>6.7022911798075305E-2</v>
      </c>
      <c r="F37" s="5">
        <v>9.0951601530683008E-3</v>
      </c>
      <c r="G37" s="5">
        <v>0.42338995723635803</v>
      </c>
      <c r="H37" s="5">
        <v>2.0050521482138302</v>
      </c>
      <c r="I37" s="5">
        <v>5.0589362704596104</v>
      </c>
      <c r="J37" s="5">
        <v>65.515997442158806</v>
      </c>
      <c r="K37" s="5">
        <v>0.58647790215998896</v>
      </c>
      <c r="L37" s="5">
        <v>0.15</v>
      </c>
      <c r="M37" s="5">
        <v>-1.5166063960236899E-9</v>
      </c>
      <c r="N37" s="5">
        <v>296</v>
      </c>
      <c r="O37" s="5">
        <v>17.1666362409565</v>
      </c>
      <c r="P37" s="5">
        <v>99.999999999868393</v>
      </c>
      <c r="Q37" s="5">
        <v>0.26767599970582501</v>
      </c>
      <c r="R37" s="5">
        <v>0.51318653478106102</v>
      </c>
      <c r="S37" s="5">
        <v>3.7737919087770599</v>
      </c>
      <c r="T37" s="5">
        <v>39.658686642276997</v>
      </c>
      <c r="U37" s="5">
        <v>8.0844658112187995E-2</v>
      </c>
      <c r="V37" s="5">
        <v>0.15</v>
      </c>
      <c r="W37" s="5">
        <v>0.53704424517066096</v>
      </c>
      <c r="X37" s="5">
        <v>296</v>
      </c>
    </row>
    <row r="38" spans="5:24" x14ac:dyDescent="0.3">
      <c r="E38" s="5">
        <v>0.11384114496249099</v>
      </c>
      <c r="F38" s="5">
        <v>2.2618976685931901E-2</v>
      </c>
      <c r="G38" s="5">
        <v>2.3282646930121298</v>
      </c>
      <c r="H38" s="5">
        <v>0.236979060036005</v>
      </c>
      <c r="I38" s="5">
        <v>2.9049964499787402</v>
      </c>
      <c r="J38" s="5">
        <v>3.7738300621893099</v>
      </c>
      <c r="K38" s="5">
        <v>0.99999999999997802</v>
      </c>
      <c r="L38" s="5">
        <v>1.2</v>
      </c>
      <c r="M38" s="5">
        <v>4.35055717772544E-2</v>
      </c>
      <c r="N38" s="5">
        <v>296</v>
      </c>
      <c r="O38" s="5">
        <v>9.6916437920500798</v>
      </c>
      <c r="P38" s="5">
        <v>99.999999893727903</v>
      </c>
      <c r="Q38" s="5">
        <v>0.77294049867800796</v>
      </c>
      <c r="R38" s="5">
        <v>0.23860025610416999</v>
      </c>
      <c r="S38" s="5">
        <v>2.4028774836145801</v>
      </c>
      <c r="T38" s="5">
        <v>30.335928563810199</v>
      </c>
      <c r="U38" s="5">
        <v>0.15747717022660701</v>
      </c>
      <c r="V38" s="5">
        <v>1.2</v>
      </c>
      <c r="W38" s="5">
        <v>0.51255560035070402</v>
      </c>
      <c r="X38" s="5">
        <v>296</v>
      </c>
    </row>
    <row r="39" spans="5:24" x14ac:dyDescent="0.3">
      <c r="E39" s="5">
        <v>5.8870010636612798E-2</v>
      </c>
      <c r="F39" s="5">
        <v>2.45327472381624E-2</v>
      </c>
      <c r="G39" s="5">
        <v>43.515227323703201</v>
      </c>
      <c r="H39" s="5">
        <v>1.7921765356720201</v>
      </c>
      <c r="I39" s="5">
        <v>1.4769775403838801</v>
      </c>
      <c r="J39" s="5">
        <v>7.0182068485025999</v>
      </c>
      <c r="K39" s="5">
        <v>5.6910323249350497E-2</v>
      </c>
      <c r="L39" s="5">
        <v>0.53</v>
      </c>
      <c r="M39" s="5">
        <v>0.10993476990961699</v>
      </c>
      <c r="N39" s="5">
        <v>296</v>
      </c>
      <c r="O39" s="5">
        <v>13.290910608857001</v>
      </c>
      <c r="P39" s="5">
        <v>99.999999984856601</v>
      </c>
      <c r="Q39" s="5">
        <v>0.334777813520583</v>
      </c>
      <c r="R39" s="5">
        <v>0.40193979071729402</v>
      </c>
      <c r="S39" s="5">
        <v>2.0895605347806101</v>
      </c>
      <c r="T39" s="5">
        <v>25.7852341620491</v>
      </c>
      <c r="U39" s="5">
        <v>7.7364172831042494E-2</v>
      </c>
      <c r="V39" s="5">
        <v>0.53</v>
      </c>
      <c r="W39" s="5">
        <v>0.68104191532060698</v>
      </c>
      <c r="X39" s="5">
        <v>296</v>
      </c>
    </row>
    <row r="40" spans="5:24" x14ac:dyDescent="0.3">
      <c r="E40">
        <v>0.105479812305922</v>
      </c>
      <c r="F40">
        <v>9.6748429583436102E-2</v>
      </c>
      <c r="G40">
        <v>0.79777574081838998</v>
      </c>
      <c r="H40">
        <v>1.63736757361046</v>
      </c>
      <c r="I40">
        <v>2.24387595366274</v>
      </c>
      <c r="J40">
        <v>33.637783926181697</v>
      </c>
      <c r="K40">
        <v>3.3218776770360899E-2</v>
      </c>
      <c r="L40">
        <v>0.24</v>
      </c>
      <c r="M40">
        <v>0.80092907408419101</v>
      </c>
      <c r="N40">
        <v>259</v>
      </c>
      <c r="O40">
        <v>10.826387028888901</v>
      </c>
      <c r="P40">
        <v>63.709621712801898</v>
      </c>
      <c r="Q40">
        <v>0.90316517291875897</v>
      </c>
      <c r="R40">
        <v>0.898404037384674</v>
      </c>
      <c r="S40">
        <v>3.4732135206672199</v>
      </c>
      <c r="T40">
        <v>54.351970036022998</v>
      </c>
      <c r="U40">
        <v>4.7981318213145503E-2</v>
      </c>
      <c r="V40">
        <v>0.24</v>
      </c>
      <c r="W40">
        <v>0.85337049751244498</v>
      </c>
      <c r="X40">
        <v>259</v>
      </c>
    </row>
    <row r="41" spans="5:24" x14ac:dyDescent="0.3">
      <c r="E41">
        <v>4.6215669147524003E-3</v>
      </c>
      <c r="F41">
        <v>0.19970216253237399</v>
      </c>
      <c r="G41">
        <v>4.9880640990294899E-2</v>
      </c>
      <c r="H41">
        <v>4.2756543000782896</v>
      </c>
      <c r="I41">
        <v>5.9999999999999698</v>
      </c>
      <c r="J41">
        <v>33.966919961189703</v>
      </c>
      <c r="K41">
        <v>2.1913071302027999E-2</v>
      </c>
      <c r="L41">
        <v>150</v>
      </c>
      <c r="M41">
        <v>8.7333084205893904E-2</v>
      </c>
      <c r="N41">
        <v>648</v>
      </c>
      <c r="O41">
        <v>25</v>
      </c>
      <c r="P41">
        <v>28.113103336182601</v>
      </c>
      <c r="Q41">
        <v>4.5025804704954799</v>
      </c>
      <c r="R41">
        <v>0.27513410109650799</v>
      </c>
      <c r="S41">
        <v>0.51848719118369802</v>
      </c>
      <c r="T41">
        <v>19.021123426546399</v>
      </c>
      <c r="U41">
        <v>0.129579615618449</v>
      </c>
      <c r="V41">
        <v>150</v>
      </c>
      <c r="W41">
        <v>0.340689530677454</v>
      </c>
      <c r="X41">
        <v>648</v>
      </c>
    </row>
    <row r="42" spans="5:24" x14ac:dyDescent="0.3">
      <c r="E42">
        <v>3.6272868748279999E-3</v>
      </c>
      <c r="F42">
        <v>1.112406669089E-4</v>
      </c>
      <c r="G42">
        <v>67.182724579125207</v>
      </c>
      <c r="H42">
        <v>0.10002472460504901</v>
      </c>
      <c r="I42">
        <v>0.53557416755950005</v>
      </c>
      <c r="J42">
        <v>6.3520012271130799</v>
      </c>
      <c r="K42">
        <v>3.3654929847931898E-2</v>
      </c>
      <c r="L42">
        <v>0.85</v>
      </c>
      <c r="M42">
        <v>4.1649026453205498E-5</v>
      </c>
      <c r="N42">
        <v>612</v>
      </c>
      <c r="O42">
        <v>25</v>
      </c>
      <c r="P42">
        <v>45.843748120454201</v>
      </c>
      <c r="Q42">
        <v>0.60980396029896999</v>
      </c>
      <c r="R42">
        <v>0.100000000000026</v>
      </c>
      <c r="S42">
        <v>0.21238203449677001</v>
      </c>
      <c r="T42">
        <v>66.636256817996198</v>
      </c>
      <c r="U42">
        <v>5.8283442789040199E-2</v>
      </c>
      <c r="V42">
        <v>0.85</v>
      </c>
      <c r="W42">
        <v>0.201475198427879</v>
      </c>
      <c r="X42">
        <v>612</v>
      </c>
    </row>
    <row r="43" spans="5:24" x14ac:dyDescent="0.3">
      <c r="E43">
        <v>3.6838348684312999E-3</v>
      </c>
      <c r="F43">
        <v>1.3226629784214999E-3</v>
      </c>
      <c r="G43">
        <v>20.258399356280499</v>
      </c>
      <c r="H43">
        <v>0.16041269039730199</v>
      </c>
      <c r="I43">
        <v>0.100000002533051</v>
      </c>
      <c r="J43">
        <v>66.407707731828395</v>
      </c>
      <c r="K43">
        <v>0.99999896577292202</v>
      </c>
      <c r="L43">
        <v>0.66</v>
      </c>
      <c r="M43">
        <v>4.4871348569603599E-2</v>
      </c>
      <c r="N43">
        <v>588</v>
      </c>
      <c r="O43">
        <v>25</v>
      </c>
      <c r="P43">
        <v>11.7722791996749</v>
      </c>
      <c r="Q43">
        <v>18.2184262936746</v>
      </c>
      <c r="R43">
        <v>0.100000000000022</v>
      </c>
      <c r="S43">
        <v>1.6841687675994499</v>
      </c>
      <c r="T43">
        <v>19.4706821678407</v>
      </c>
      <c r="U43">
        <v>0.86230986288336597</v>
      </c>
      <c r="V43">
        <v>0.66</v>
      </c>
      <c r="W43">
        <v>0.16477059135576699</v>
      </c>
      <c r="X43">
        <v>588</v>
      </c>
    </row>
    <row r="44" spans="5:24" x14ac:dyDescent="0.3">
      <c r="E44">
        <v>8.3187231717089E-2</v>
      </c>
      <c r="F44">
        <v>4.5904302886794701E-2</v>
      </c>
      <c r="G44">
        <v>58.0955277643871</v>
      </c>
      <c r="H44">
        <v>4.2374798037283901</v>
      </c>
      <c r="I44">
        <v>5.99999999999996</v>
      </c>
      <c r="J44">
        <v>5.6314512585376102</v>
      </c>
      <c r="K44">
        <v>6.9194554793906293E-2</v>
      </c>
      <c r="L44">
        <v>3.6</v>
      </c>
      <c r="M44">
        <v>0.20198451671202899</v>
      </c>
      <c r="N44">
        <v>272</v>
      </c>
      <c r="O44">
        <v>16.2949251612845</v>
      </c>
      <c r="P44">
        <v>32.587222618754502</v>
      </c>
      <c r="Q44">
        <v>1.1714371623285</v>
      </c>
      <c r="R44">
        <v>0.34035290550016001</v>
      </c>
      <c r="S44">
        <v>2.9099807683482499</v>
      </c>
      <c r="T44">
        <v>24.5638000804821</v>
      </c>
      <c r="U44">
        <v>0.14186658300722099</v>
      </c>
      <c r="V44">
        <v>3.6</v>
      </c>
      <c r="W44">
        <v>0.34773162544728198</v>
      </c>
      <c r="X44">
        <v>272</v>
      </c>
    </row>
    <row r="45" spans="5:24" x14ac:dyDescent="0.3">
      <c r="E45">
        <v>6.9684265620687594E-2</v>
      </c>
      <c r="F45">
        <v>1.8290657285915401E-2</v>
      </c>
      <c r="G45">
        <v>0.71991578210982299</v>
      </c>
      <c r="H45">
        <v>1.30367589437659</v>
      </c>
      <c r="I45">
        <v>2.9174659470633002</v>
      </c>
      <c r="J45">
        <v>43.9014697977859</v>
      </c>
      <c r="K45">
        <v>0.44663818397874999</v>
      </c>
      <c r="L45">
        <v>2.8</v>
      </c>
      <c r="M45">
        <v>-6.4567575841501E-7</v>
      </c>
      <c r="N45">
        <v>255</v>
      </c>
      <c r="O45">
        <v>19.955620301312699</v>
      </c>
      <c r="P45">
        <v>44.026218889962202</v>
      </c>
      <c r="Q45">
        <v>0.61133790087087703</v>
      </c>
      <c r="R45">
        <v>1.67732606884283</v>
      </c>
      <c r="S45">
        <v>2.3551982553594502</v>
      </c>
      <c r="T45">
        <v>55.132262055161704</v>
      </c>
      <c r="U45">
        <v>1.17349688209895E-2</v>
      </c>
      <c r="V45">
        <v>2.8</v>
      </c>
      <c r="W45">
        <v>0.74151155936577395</v>
      </c>
      <c r="X45">
        <v>255</v>
      </c>
    </row>
    <row r="46" spans="5:24" x14ac:dyDescent="0.3">
      <c r="E46" s="5">
        <v>8.8794425085319803E-2</v>
      </c>
      <c r="F46" s="5">
        <v>2.2107103885615799E-2</v>
      </c>
      <c r="G46" s="5">
        <v>31.202120602714601</v>
      </c>
      <c r="H46" s="5">
        <v>0.100002580646795</v>
      </c>
      <c r="I46" s="5">
        <v>0.111840336257319</v>
      </c>
      <c r="J46" s="5">
        <v>13.9454053550237</v>
      </c>
      <c r="K46" s="5">
        <v>0.99703024629380899</v>
      </c>
      <c r="L46" s="5">
        <v>2.5</v>
      </c>
      <c r="M46" s="5">
        <v>4.0443432602064101E-2</v>
      </c>
      <c r="N46" s="5">
        <v>272</v>
      </c>
      <c r="O46" s="5">
        <v>19.2750458941597</v>
      </c>
      <c r="P46" s="5">
        <v>43.442413771728297</v>
      </c>
      <c r="Q46" s="5">
        <v>1.36608806472833E-2</v>
      </c>
      <c r="R46" s="5">
        <v>3.8729548190447498</v>
      </c>
      <c r="S46" s="5">
        <v>1.2724993539099301</v>
      </c>
      <c r="T46" s="5">
        <v>52.318346823502601</v>
      </c>
      <c r="U46" s="5">
        <v>3.1917194958544998E-3</v>
      </c>
      <c r="V46" s="5">
        <v>2.5</v>
      </c>
      <c r="W46" s="5">
        <v>0.77932066209579798</v>
      </c>
      <c r="X46" s="5">
        <v>272</v>
      </c>
    </row>
    <row r="47" spans="5:24" x14ac:dyDescent="0.3">
      <c r="E47">
        <v>7.2711855997530897E-2</v>
      </c>
      <c r="F47">
        <v>3.2165401320872998E-2</v>
      </c>
      <c r="G47">
        <v>60.178932223059903</v>
      </c>
      <c r="H47">
        <v>0.93949807486525805</v>
      </c>
      <c r="I47">
        <v>2.5036509778099099</v>
      </c>
      <c r="J47">
        <v>11.8346445026719</v>
      </c>
      <c r="K47">
        <v>0.181964120588264</v>
      </c>
      <c r="L47">
        <v>20</v>
      </c>
      <c r="M47">
        <v>0.125942315078901</v>
      </c>
      <c r="N47">
        <v>264</v>
      </c>
      <c r="O47">
        <v>23.608300503852998</v>
      </c>
      <c r="P47">
        <v>27.757230678557399</v>
      </c>
      <c r="Q47">
        <v>8.17051763049942</v>
      </c>
      <c r="R47">
        <v>3.5134749307267898</v>
      </c>
      <c r="S47">
        <v>5.9999999999998801</v>
      </c>
      <c r="T47">
        <v>23.2298906873161</v>
      </c>
      <c r="U47">
        <v>3.4095886670490697E-2</v>
      </c>
      <c r="V47">
        <v>20</v>
      </c>
      <c r="W47">
        <v>0.26167735288275801</v>
      </c>
      <c r="X47">
        <v>264</v>
      </c>
    </row>
    <row r="48" spans="5:24" x14ac:dyDescent="0.3">
      <c r="E48">
        <v>6.9600530954412002E-2</v>
      </c>
      <c r="F48">
        <v>1.42578611900336E-2</v>
      </c>
      <c r="G48">
        <v>98.489721556056793</v>
      </c>
      <c r="H48">
        <v>0.230545757161259</v>
      </c>
      <c r="I48">
        <v>0.100000000000023</v>
      </c>
      <c r="J48">
        <v>0.100348144475123</v>
      </c>
      <c r="K48">
        <v>0.99999999999996203</v>
      </c>
      <c r="L48">
        <v>0.39</v>
      </c>
      <c r="M48">
        <v>3.5734430294465998E-2</v>
      </c>
      <c r="N48">
        <v>272</v>
      </c>
      <c r="O48">
        <v>19.071601065494701</v>
      </c>
      <c r="P48">
        <v>99.999999999826301</v>
      </c>
      <c r="Q48">
        <v>1.7206996411563999E-3</v>
      </c>
      <c r="R48">
        <v>2.1709951971499701</v>
      </c>
      <c r="S48">
        <v>0.80077260750109902</v>
      </c>
      <c r="T48">
        <v>84.718572584178403</v>
      </c>
      <c r="U48">
        <v>5.0449756605659996E-3</v>
      </c>
      <c r="V48">
        <v>0.39</v>
      </c>
      <c r="W48">
        <v>0.62068099309346503</v>
      </c>
      <c r="X48">
        <v>272</v>
      </c>
    </row>
    <row r="49" spans="5:24" x14ac:dyDescent="0.3">
      <c r="E49">
        <v>7.1003335696043501E-2</v>
      </c>
      <c r="F49">
        <v>2.2555261774452301E-2</v>
      </c>
      <c r="G49">
        <v>1.15211010918E-4</v>
      </c>
      <c r="H49">
        <v>5.7851716304285397</v>
      </c>
      <c r="I49">
        <v>5.9166553092743897</v>
      </c>
      <c r="J49">
        <v>95.877004897424001</v>
      </c>
      <c r="K49">
        <v>2.92383362436472E-2</v>
      </c>
      <c r="L49">
        <v>6.3E-2</v>
      </c>
      <c r="M49">
        <v>0.123259613459996</v>
      </c>
      <c r="N49">
        <v>263</v>
      </c>
      <c r="O49">
        <v>12.9367782757662</v>
      </c>
      <c r="P49">
        <v>13.793895889560901</v>
      </c>
      <c r="Q49">
        <v>1.0898831423225099</v>
      </c>
      <c r="R49">
        <v>2.0304786141240299</v>
      </c>
      <c r="S49">
        <v>4.8914130504006099</v>
      </c>
      <c r="T49">
        <v>43.6266361467788</v>
      </c>
      <c r="U49">
        <v>2.9691318394228301E-2</v>
      </c>
      <c r="V49">
        <v>6.3E-2</v>
      </c>
      <c r="W49">
        <v>8.4586457999772796E-2</v>
      </c>
      <c r="X49">
        <v>263</v>
      </c>
    </row>
    <row r="50" spans="5:24" x14ac:dyDescent="0.3">
      <c r="E50">
        <v>6.1440042075567101E-2</v>
      </c>
      <c r="F50">
        <v>5.4228764322975E-3</v>
      </c>
      <c r="G50">
        <v>0.32037517289141998</v>
      </c>
      <c r="H50">
        <v>4.1869661844899602</v>
      </c>
      <c r="I50">
        <v>4.5693175495403402</v>
      </c>
      <c r="J50">
        <v>72.933027112217005</v>
      </c>
      <c r="K50">
        <v>0.72028663261025205</v>
      </c>
      <c r="L50">
        <v>1.5</v>
      </c>
      <c r="M50">
        <v>-1.7387646877864401E-11</v>
      </c>
      <c r="N50">
        <v>296</v>
      </c>
      <c r="O50">
        <v>15.8147635337286</v>
      </c>
      <c r="P50">
        <v>99.999999999998195</v>
      </c>
      <c r="Q50">
        <v>2.7964425504552599</v>
      </c>
      <c r="R50">
        <v>0.38244747704057902</v>
      </c>
      <c r="S50">
        <v>5.9999946307151797</v>
      </c>
      <c r="T50">
        <v>42.8192242143367</v>
      </c>
      <c r="U50">
        <v>0.200350085431796</v>
      </c>
      <c r="V50">
        <v>1.5</v>
      </c>
      <c r="W50">
        <v>0.55323715040807697</v>
      </c>
      <c r="X50">
        <v>296</v>
      </c>
    </row>
    <row r="51" spans="5:24" x14ac:dyDescent="0.3">
      <c r="E51" s="5">
        <v>6.75887518458545E-2</v>
      </c>
      <c r="F51" s="5">
        <v>2.8494910590678098E-2</v>
      </c>
      <c r="G51" s="5">
        <v>1.354886224271E-4</v>
      </c>
      <c r="H51" s="5">
        <v>5.9572748558125204</v>
      </c>
      <c r="I51" s="5">
        <v>2.12062283598874</v>
      </c>
      <c r="J51" s="5">
        <v>95.920712821672495</v>
      </c>
      <c r="K51" s="5">
        <v>8.8447594055514004E-3</v>
      </c>
      <c r="L51" s="5">
        <v>3.4000000000000002E-2</v>
      </c>
      <c r="M51" s="5">
        <v>0.21910024315663201</v>
      </c>
      <c r="N51" s="5">
        <v>272</v>
      </c>
      <c r="O51" s="5">
        <v>18.157737225075898</v>
      </c>
      <c r="P51" s="5">
        <v>56.308797766053303</v>
      </c>
      <c r="Q51" s="5">
        <v>0.30715706625439299</v>
      </c>
      <c r="R51" s="5">
        <v>0.32903763821700199</v>
      </c>
      <c r="S51" s="5">
        <v>1.5917921662705701</v>
      </c>
      <c r="T51" s="5">
        <v>21.959685709613701</v>
      </c>
      <c r="U51" s="5">
        <v>1.8792551847047E-2</v>
      </c>
      <c r="V51" s="5">
        <v>3.4000000000000002E-2</v>
      </c>
      <c r="W51" s="5">
        <v>0.93889366890582504</v>
      </c>
      <c r="X51" s="5">
        <v>272</v>
      </c>
    </row>
    <row r="52" spans="5:24" x14ac:dyDescent="0.3">
      <c r="E52" s="5">
        <v>6.3949038467432995E-2</v>
      </c>
      <c r="F52" s="5">
        <v>1.33524217788644E-2</v>
      </c>
      <c r="G52" s="5">
        <v>13.5100838215905</v>
      </c>
      <c r="H52" s="5">
        <v>3.22911540541222</v>
      </c>
      <c r="I52" s="5">
        <v>3.2848828548006401</v>
      </c>
      <c r="J52" s="5">
        <v>2.4167194072578901</v>
      </c>
      <c r="K52" s="5">
        <v>5.6375282448950403E-2</v>
      </c>
      <c r="L52" s="5">
        <v>0.65</v>
      </c>
      <c r="M52" s="5">
        <v>5.5549025255851599E-2</v>
      </c>
      <c r="N52" s="5">
        <v>296</v>
      </c>
      <c r="O52" s="5">
        <v>13.8163949276748</v>
      </c>
      <c r="P52" s="5">
        <v>99.999999659139405</v>
      </c>
      <c r="Q52" s="5">
        <v>1.2704055791756801</v>
      </c>
      <c r="R52" s="5">
        <v>0.41531364959053302</v>
      </c>
      <c r="S52" s="5">
        <v>2.6126428440768898</v>
      </c>
      <c r="T52" s="5">
        <v>61.590592118231697</v>
      </c>
      <c r="U52" s="5">
        <v>8.3152630415504705E-2</v>
      </c>
      <c r="V52" s="5">
        <v>0.65</v>
      </c>
      <c r="W52" s="5">
        <v>0.71081259604147995</v>
      </c>
      <c r="X52" s="5">
        <v>296</v>
      </c>
    </row>
    <row r="53" spans="5:24" x14ac:dyDescent="0.3">
      <c r="E53" s="5">
        <v>6.5012675418007398E-2</v>
      </c>
      <c r="F53" s="5">
        <v>1.5141109438158E-13</v>
      </c>
      <c r="G53" s="5">
        <v>64.325023112248601</v>
      </c>
      <c r="H53" s="5">
        <v>1.2595802607633499</v>
      </c>
      <c r="I53" s="5">
        <v>3.0573433167450199</v>
      </c>
      <c r="J53" s="5">
        <v>4.8630176553171003</v>
      </c>
      <c r="K53" s="5">
        <v>5.6708665286509703E-2</v>
      </c>
      <c r="L53" s="5">
        <v>0.1</v>
      </c>
      <c r="M53" s="5">
        <v>-1.8518520050747601E-13</v>
      </c>
      <c r="N53" s="5">
        <v>272</v>
      </c>
      <c r="O53" s="5">
        <v>22.163366273624401</v>
      </c>
      <c r="P53" s="5">
        <v>22.746411314662701</v>
      </c>
      <c r="Q53" s="5">
        <v>2.2666258128646799</v>
      </c>
      <c r="R53" s="5">
        <v>0.51805317360285597</v>
      </c>
      <c r="S53" s="5">
        <v>4.8980315299745403</v>
      </c>
      <c r="T53" s="5">
        <v>31.883955776877201</v>
      </c>
      <c r="U53" s="5">
        <v>0.155477896001493</v>
      </c>
      <c r="V53" s="5">
        <v>0.1</v>
      </c>
      <c r="W53" s="5">
        <v>0.27784404169733601</v>
      </c>
      <c r="X53" s="5">
        <v>272</v>
      </c>
    </row>
    <row r="54" spans="5:24" x14ac:dyDescent="0.3">
      <c r="E54" s="5">
        <v>5.4215794104678298E-2</v>
      </c>
      <c r="F54" s="5">
        <v>2.5430890407341301E-2</v>
      </c>
      <c r="G54" s="5">
        <v>6.8960901742741998E-3</v>
      </c>
      <c r="H54" s="5">
        <v>5.7584074485724503</v>
      </c>
      <c r="I54" s="5">
        <v>2.4738279613323502</v>
      </c>
      <c r="J54" s="5">
        <v>90.215284873608496</v>
      </c>
      <c r="K54" s="5">
        <v>1.7157875429141E-2</v>
      </c>
      <c r="L54" s="5">
        <v>0.15</v>
      </c>
      <c r="M54" s="5">
        <v>0.10972232569613501</v>
      </c>
      <c r="N54" s="5">
        <v>272</v>
      </c>
      <c r="O54" s="5">
        <v>17.522844699935099</v>
      </c>
      <c r="P54" s="5">
        <v>67.5153254654671</v>
      </c>
      <c r="Q54" s="5">
        <v>0.10669085140055801</v>
      </c>
      <c r="R54" s="5">
        <v>0.51335633100514899</v>
      </c>
      <c r="S54" s="5">
        <v>1.76933886450712</v>
      </c>
      <c r="T54" s="5">
        <v>53.479721391842098</v>
      </c>
      <c r="U54" s="5">
        <v>1.05099324562679E-2</v>
      </c>
      <c r="V54" s="5">
        <v>0.15</v>
      </c>
      <c r="W54" s="5">
        <v>0.74624685454625395</v>
      </c>
      <c r="X54" s="5">
        <v>272</v>
      </c>
    </row>
  </sheetData>
  <mergeCells count="2">
    <mergeCell ref="B1:N1"/>
    <mergeCell ref="O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b</dc:creator>
  <cp:lastModifiedBy>noah b</cp:lastModifiedBy>
  <dcterms:created xsi:type="dcterms:W3CDTF">2025-12-30T14:11:05Z</dcterms:created>
  <dcterms:modified xsi:type="dcterms:W3CDTF">2025-12-30T14:11:52Z</dcterms:modified>
</cp:coreProperties>
</file>