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_Heatmap" sheetId="1" state="visible" r:id="rId1"/>
    <sheet xmlns:r="http://schemas.openxmlformats.org/officeDocument/2006/relationships" name="R2_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000000"/>
    </font>
  </fonts>
  <fills count="25">
    <fill>
      <patternFill/>
    </fill>
    <fill>
      <patternFill patternType="gray125"/>
    </fill>
    <fill>
      <patternFill patternType="solid">
        <fgColor rgb="00448963"/>
      </patternFill>
    </fill>
    <fill>
      <patternFill patternType="solid">
        <fgColor rgb="002C7A4F"/>
      </patternFill>
    </fill>
    <fill>
      <patternFill patternType="solid">
        <fgColor rgb="0071A689"/>
      </patternFill>
    </fill>
    <fill>
      <patternFill patternType="solid">
        <fgColor rgb="00EAC1C6"/>
      </patternFill>
    </fill>
    <fill>
      <patternFill patternType="solid">
        <fgColor rgb="0080AF95"/>
      </patternFill>
    </fill>
    <fill>
      <patternFill patternType="solid">
        <fgColor rgb="00E5B0B6"/>
      </patternFill>
    </fill>
    <fill>
      <patternFill patternType="solid">
        <fgColor rgb="00539370"/>
      </patternFill>
    </fill>
    <fill>
      <patternFill patternType="solid">
        <fgColor rgb="00347F55"/>
      </patternFill>
    </fill>
    <fill>
      <patternFill patternType="solid">
        <fgColor rgb="00559471"/>
      </patternFill>
    </fill>
    <fill>
      <patternFill patternType="solid">
        <fgColor rgb="00F3DBDE"/>
      </patternFill>
    </fill>
    <fill>
      <patternFill patternType="solid">
        <fgColor rgb="00B5D0C2"/>
      </patternFill>
    </fill>
    <fill>
      <patternFill patternType="solid">
        <fgColor rgb="00659E7F"/>
      </patternFill>
    </fill>
    <fill>
      <patternFill patternType="solid">
        <fgColor rgb="00488B67"/>
      </patternFill>
    </fill>
    <fill>
      <patternFill patternType="solid">
        <fgColor rgb="00CFE0D7"/>
      </patternFill>
    </fill>
    <fill>
      <patternFill patternType="solid">
        <fgColor rgb="00B72335"/>
      </patternFill>
    </fill>
    <fill>
      <patternFill patternType="solid">
        <fgColor rgb="00D0E1D8"/>
      </patternFill>
    </fill>
    <fill>
      <patternFill patternType="solid">
        <fgColor rgb="00BC3142"/>
      </patternFill>
    </fill>
    <fill>
      <patternFill patternType="solid">
        <fgColor rgb="00B9D3C4"/>
      </patternFill>
    </fill>
    <fill>
      <patternFill patternType="solid">
        <fgColor rgb="004C8E6A"/>
      </patternFill>
    </fill>
    <fill>
      <patternFill patternType="solid">
        <fgColor rgb="00B0CDBD"/>
      </patternFill>
    </fill>
    <fill>
      <patternFill patternType="solid">
        <fgColor rgb="00428761"/>
      </patternFill>
    </fill>
    <fill>
      <patternFill patternType="solid">
        <fgColor rgb="005C9877"/>
      </patternFill>
    </fill>
    <fill>
      <patternFill patternType="solid">
        <fgColor rgb="004B8D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4" fontId="3" fillId="3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164" fontId="3" fillId="5" borderId="0" applyAlignment="1" pivotButton="0" quotePrefix="0" xfId="0">
      <alignment horizontal="center"/>
    </xf>
    <xf numFmtId="164" fontId="4" fillId="6" borderId="0" applyAlignment="1" pivotButton="0" quotePrefix="0" xfId="0">
      <alignment horizontal="center"/>
    </xf>
    <xf numFmtId="164" fontId="3" fillId="7" borderId="0" applyAlignment="1" pivotButton="0" quotePrefix="0" xfId="0">
      <alignment horizontal="center"/>
    </xf>
    <xf numFmtId="164" fontId="3" fillId="8" borderId="0" applyAlignment="1" pivotButton="0" quotePrefix="0" xfId="0">
      <alignment horizontal="center"/>
    </xf>
    <xf numFmtId="164" fontId="3" fillId="9" borderId="0" applyAlignment="1" pivotButton="0" quotePrefix="0" xfId="0">
      <alignment horizontal="center"/>
    </xf>
    <xf numFmtId="164" fontId="3" fillId="10" borderId="0" applyAlignment="1" pivotButton="0" quotePrefix="0" xfId="0">
      <alignment horizontal="center"/>
    </xf>
    <xf numFmtId="164" fontId="3" fillId="11" borderId="0" applyAlignment="1" pivotButton="0" quotePrefix="0" xfId="0">
      <alignment horizontal="center"/>
    </xf>
    <xf numFmtId="164" fontId="4" fillId="12" borderId="0" applyAlignment="1" pivotButton="0" quotePrefix="0" xfId="0">
      <alignment horizontal="center"/>
    </xf>
    <xf numFmtId="164" fontId="4" fillId="13" borderId="0" applyAlignment="1" pivotButton="0" quotePrefix="0" xfId="0">
      <alignment horizontal="center"/>
    </xf>
    <xf numFmtId="164" fontId="3" fillId="14" borderId="0" applyAlignment="1" pivotButton="0" quotePrefix="0" xfId="0">
      <alignment horizontal="center"/>
    </xf>
    <xf numFmtId="164" fontId="4" fillId="15" borderId="0" applyAlignment="1" pivotButton="0" quotePrefix="0" xfId="0">
      <alignment horizontal="center"/>
    </xf>
    <xf numFmtId="164" fontId="3" fillId="16" borderId="0" applyAlignment="1" pivotButton="0" quotePrefix="0" xfId="0">
      <alignment horizontal="center"/>
    </xf>
    <xf numFmtId="164" fontId="4" fillId="17" borderId="0" applyAlignment="1" pivotButton="0" quotePrefix="0" xfId="0">
      <alignment horizontal="center"/>
    </xf>
    <xf numFmtId="164" fontId="3" fillId="18" borderId="0" applyAlignment="1" pivotButton="0" quotePrefix="0" xfId="0">
      <alignment horizontal="center"/>
    </xf>
    <xf numFmtId="164" fontId="4" fillId="19" borderId="0" applyAlignment="1" pivotButton="0" quotePrefix="0" xfId="0">
      <alignment horizontal="center"/>
    </xf>
    <xf numFmtId="164" fontId="3" fillId="20" borderId="0" applyAlignment="1" pivotButton="0" quotePrefix="0" xfId="0">
      <alignment horizontal="center"/>
    </xf>
    <xf numFmtId="164" fontId="4" fillId="21" borderId="0" applyAlignment="1" pivotButton="0" quotePrefix="0" xfId="0">
      <alignment horizontal="center"/>
    </xf>
    <xf numFmtId="164" fontId="3" fillId="22" borderId="0" applyAlignment="1" pivotButton="0" quotePrefix="0" xfId="0">
      <alignment horizontal="center"/>
    </xf>
    <xf numFmtId="164" fontId="3" fillId="23" borderId="0" applyAlignment="1" pivotButton="0" quotePrefix="0" xfId="0">
      <alignment horizontal="center"/>
    </xf>
    <xf numFmtId="164" fontId="3" fillId="2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R² by Equation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'R2_Chart'!B1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'R2_Chart'!$A$2:$A$13</f>
            </numRef>
          </cat>
          <val>
            <numRef>
              <f>'R2_Chart'!$B$2:$B$13</f>
            </numRef>
          </val>
        </ser>
        <ser>
          <idx val="1"/>
          <order val="1"/>
          <tx>
            <strRef>
              <f>'R2_Chart'!C1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'R2_Chart'!$A$2:$A$13</f>
            </numRef>
          </cat>
          <val>
            <numRef>
              <f>'R2_Chart'!$C$2:$C$13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R²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1" t="inlineStr">
        <is>
          <t>Mean R² by Equation</t>
        </is>
      </c>
    </row>
    <row r="3">
      <c r="A3" s="2" t="inlineStr">
        <is>
          <t>Equation</t>
        </is>
      </c>
      <c r="B3" s="2" t="inlineStr">
        <is>
          <t>Contractility</t>
        </is>
      </c>
      <c r="C3" s="2" t="inlineStr">
        <is>
          <t>O2</t>
        </is>
      </c>
    </row>
    <row r="4">
      <c r="A4" t="inlineStr">
        <is>
          <t>Dual Exponential (Eq1)</t>
        </is>
      </c>
      <c r="B4" s="3" t="n">
        <v>0.497</v>
      </c>
      <c r="C4" s="4" t="n">
        <v>0.5659999999999999</v>
      </c>
    </row>
    <row r="5">
      <c r="A5" t="inlineStr">
        <is>
          <t>Bivariate Gaussian (Eq2)</t>
        </is>
      </c>
      <c r="B5" s="5" t="n">
        <v>0.363</v>
      </c>
      <c r="C5" s="6" t="n">
        <v>-0.224</v>
      </c>
    </row>
    <row r="6">
      <c r="A6" t="inlineStr">
        <is>
          <t>Gaussian-Hill Hybrid (Eq3)</t>
        </is>
      </c>
      <c r="B6" s="7" t="n">
        <v>0.319</v>
      </c>
      <c r="C6" s="8" t="n">
        <v>-0.271</v>
      </c>
    </row>
    <row r="7">
      <c r="A7" t="inlineStr">
        <is>
          <t>Modified Hill (Hormesis) (Eq4)</t>
        </is>
      </c>
      <c r="B7" s="9" t="n">
        <v>0.451</v>
      </c>
      <c r="C7" s="10" t="n">
        <v>0.544</v>
      </c>
    </row>
    <row r="8">
      <c r="A8" t="inlineStr">
        <is>
          <t>Gaussian Ridge (Eq5)</t>
        </is>
      </c>
      <c r="B8" s="11" t="n">
        <v>0.446</v>
      </c>
      <c r="C8" s="12" t="n">
        <v>-0.149</v>
      </c>
    </row>
    <row r="9">
      <c r="A9" t="inlineStr">
        <is>
          <t>Adaptive Response (Eq6)</t>
        </is>
      </c>
      <c r="B9" s="13" t="n">
        <v>0.164</v>
      </c>
      <c r="C9" s="5" t="n">
        <v>0.363</v>
      </c>
    </row>
    <row r="10">
      <c r="A10" t="inlineStr">
        <is>
          <t>Biphasic Response (Eq7)</t>
        </is>
      </c>
      <c r="B10" s="14" t="n">
        <v>0.399</v>
      </c>
      <c r="C10" s="15" t="n">
        <v>0.484</v>
      </c>
    </row>
    <row r="11">
      <c r="A11" t="inlineStr">
        <is>
          <t>Cumulative Exposure (Eq8)</t>
        </is>
      </c>
      <c r="B11" s="16" t="n">
        <v>0.09</v>
      </c>
      <c r="C11" s="17" t="n">
        <v>-0.667</v>
      </c>
    </row>
    <row r="12">
      <c r="A12" t="inlineStr">
        <is>
          <t>Recovery Model (Eq9)</t>
        </is>
      </c>
      <c r="B12" s="18" t="n">
        <v>0.08500000000000001</v>
      </c>
      <c r="C12" s="19" t="n">
        <v>-0.628</v>
      </c>
    </row>
    <row r="13">
      <c r="A13" t="inlineStr">
        <is>
          <t>Modified Hill (Simple) (Eq10)</t>
        </is>
      </c>
      <c r="B13" s="20" t="n">
        <v>0.154</v>
      </c>
      <c r="C13" s="21" t="n">
        <v>0.472</v>
      </c>
    </row>
    <row r="14">
      <c r="A14" t="inlineStr">
        <is>
          <t>PKPD Elimination (Eq11)</t>
        </is>
      </c>
      <c r="B14" s="22" t="n">
        <v>0.181</v>
      </c>
      <c r="C14" s="23" t="n">
        <v>0.503</v>
      </c>
    </row>
    <row r="15">
      <c r="A15" t="inlineStr">
        <is>
          <t>Hormesis V0 (Legacy) (Eq12)</t>
        </is>
      </c>
      <c r="B15" s="24" t="n">
        <v>0.427</v>
      </c>
      <c r="C15" s="25" t="n">
        <v>0.476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t="inlineStr">
        <is>
          <t>Equation</t>
        </is>
      </c>
      <c r="B1" t="inlineStr">
        <is>
          <t>Contractility</t>
        </is>
      </c>
      <c r="C1" t="inlineStr">
        <is>
          <t>O2</t>
        </is>
      </c>
    </row>
    <row r="2">
      <c r="A2" t="inlineStr">
        <is>
          <t>Dual Exponential (Eq1)</t>
        </is>
      </c>
      <c r="B2" t="n">
        <v>0.497</v>
      </c>
      <c r="C2" t="n">
        <v>0.5659999999999999</v>
      </c>
    </row>
    <row r="3">
      <c r="A3" t="inlineStr">
        <is>
          <t>Bivariate Gaussian (Eq2)</t>
        </is>
      </c>
      <c r="B3" t="n">
        <v>0.363</v>
      </c>
      <c r="C3" t="n">
        <v>-0.224</v>
      </c>
    </row>
    <row r="4">
      <c r="A4" t="inlineStr">
        <is>
          <t>Gaussian-Hill Hybrid (Eq3)</t>
        </is>
      </c>
      <c r="B4" t="n">
        <v>0.319</v>
      </c>
      <c r="C4" t="n">
        <v>-0.271</v>
      </c>
    </row>
    <row r="5">
      <c r="A5" t="inlineStr">
        <is>
          <t>Modified Hill (Hormesis) (Eq4)</t>
        </is>
      </c>
      <c r="B5" t="n">
        <v>0.451</v>
      </c>
      <c r="C5" t="n">
        <v>0.544</v>
      </c>
    </row>
    <row r="6">
      <c r="A6" t="inlineStr">
        <is>
          <t>Gaussian Ridge (Eq5)</t>
        </is>
      </c>
      <c r="B6" t="n">
        <v>0.446</v>
      </c>
      <c r="C6" t="n">
        <v>-0.149</v>
      </c>
    </row>
    <row r="7">
      <c r="A7" t="inlineStr">
        <is>
          <t>Adaptive Response (Eq6)</t>
        </is>
      </c>
      <c r="B7" t="n">
        <v>0.164</v>
      </c>
      <c r="C7" t="n">
        <v>0.363</v>
      </c>
    </row>
    <row r="8">
      <c r="A8" t="inlineStr">
        <is>
          <t>Biphasic Response (Eq7)</t>
        </is>
      </c>
      <c r="B8" t="n">
        <v>0.399</v>
      </c>
      <c r="C8" t="n">
        <v>0.484</v>
      </c>
    </row>
    <row r="9">
      <c r="A9" t="inlineStr">
        <is>
          <t>Cumulative Exposure (Eq8)</t>
        </is>
      </c>
      <c r="B9" t="n">
        <v>0.09</v>
      </c>
      <c r="C9" t="n">
        <v>-0.667</v>
      </c>
    </row>
    <row r="10">
      <c r="A10" t="inlineStr">
        <is>
          <t>Recovery Model (Eq9)</t>
        </is>
      </c>
      <c r="B10" t="n">
        <v>0.08500000000000001</v>
      </c>
      <c r="C10" t="n">
        <v>-0.628</v>
      </c>
    </row>
    <row r="11">
      <c r="A11" t="inlineStr">
        <is>
          <t>Modified Hill (Simple) (Eq10)</t>
        </is>
      </c>
      <c r="B11" t="n">
        <v>0.154</v>
      </c>
      <c r="C11" t="n">
        <v>0.472</v>
      </c>
    </row>
    <row r="12">
      <c r="A12" t="inlineStr">
        <is>
          <t>PKPD Elimination (Eq11)</t>
        </is>
      </c>
      <c r="B12" t="n">
        <v>0.181</v>
      </c>
      <c r="C12" t="n">
        <v>0.503</v>
      </c>
    </row>
    <row r="13">
      <c r="A13" t="inlineStr">
        <is>
          <t>Hormesis V0 (Legacy) (Eq12)</t>
        </is>
      </c>
      <c r="B13" t="n">
        <v>0.427</v>
      </c>
      <c r="C13" t="n">
        <v>0.476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2026-01-26T15:14:37Z</dcterms:created>
  <dcterms:modified xmlns:dcterms="http://purl.org/dc/terms/" xmlns:xsi="http://www.w3.org/2001/XMLSchema-instance" xsi:type="dcterms:W3CDTF">2026-01-26T15:14:37Z</dcterms:modified>
</cp:coreProperties>
</file>